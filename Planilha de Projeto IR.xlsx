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OOK\Documents\Estudos Excel DIO\"/>
    </mc:Choice>
  </mc:AlternateContent>
  <xr:revisionPtr revIDLastSave="0" documentId="13_ncr:1_{6839AD09-C015-4F33-BAD4-D303C7C8C7D0}" xr6:coauthVersionLast="47" xr6:coauthVersionMax="47" xr10:uidLastSave="{00000000-0000-0000-0000-000000000000}"/>
  <bookViews>
    <workbookView xWindow="-120" yWindow="-120" windowWidth="20730" windowHeight="11040" tabRatio="0" firstSheet="1" activeTab="1" xr2:uid="{035D5409-B7E9-4279-AFE0-4E795BD34777}"/>
  </bookViews>
  <sheets>
    <sheet name="Títular" sheetId="1" r:id="rId1"/>
    <sheet name="Informes" sheetId="3" r:id="rId2"/>
    <sheet name="Notas" sheetId="4" r:id="rId3"/>
    <sheet name="Tabela de bancos 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4" l="1"/>
  <c r="D9" i="4"/>
  <c r="D8" i="3"/>
  <c r="J16" i="3"/>
  <c r="J15" i="3"/>
  <c r="J14" i="3"/>
  <c r="G16" i="3"/>
  <c r="G15" i="3"/>
  <c r="J13" i="3"/>
  <c r="G14" i="3"/>
  <c r="G13" i="3"/>
  <c r="J12" i="3"/>
  <c r="G12" i="3"/>
  <c r="J11" i="3"/>
  <c r="G11" i="3"/>
</calcChain>
</file>

<file path=xl/sharedStrings.xml><?xml version="1.0" encoding="utf-8"?>
<sst xmlns="http://schemas.openxmlformats.org/spreadsheetml/2006/main" count="124" uniqueCount="101">
  <si>
    <t>NOME</t>
  </si>
  <si>
    <t>CPF</t>
  </si>
  <si>
    <t>NASCIMENTO</t>
  </si>
  <si>
    <t>TÍTULO DE ELEITOR</t>
  </si>
  <si>
    <t xml:space="preserve">CÔNJUGE 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</si>
  <si>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</si>
  <si>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</si>
  <si>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</si>
  <si>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</si>
  <si>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</si>
  <si>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</si>
  <si>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</si>
  <si>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 xml:space="preserve">DEPENDENTE CÔNJUGE </t>
  </si>
  <si>
    <t>RESIDENTE NO EXTERIOR</t>
  </si>
  <si>
    <t>1. DADOS DO TITULAR</t>
  </si>
  <si>
    <t>SIM</t>
  </si>
  <si>
    <t>NÂO</t>
  </si>
  <si>
    <t>VALÉRIA ROCHA</t>
  </si>
  <si>
    <t>VAL.ROCHA@BBB.COM</t>
  </si>
  <si>
    <t>FELIPE GIADES</t>
  </si>
  <si>
    <t xml:space="preserve">RUA DAS LARANJEIRAS , N° 520 </t>
  </si>
  <si>
    <t>RUA D LARANJ, N° 520</t>
  </si>
  <si>
    <t>PREENCHA SEUS DADOS BANCÁRIOS ATUAIS</t>
  </si>
  <si>
    <t>BANCO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</si>
  <si>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</si>
  <si>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</si>
  <si>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</si>
  <si>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</si>
  <si>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</si>
  <si>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</si>
  <si>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</si>
  <si>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</si>
  <si>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</si>
  <si>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</si>
  <si>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</si>
  <si>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</si>
  <si>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</si>
  <si>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</si>
  <si>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</si>
  <si>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</si>
  <si>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</si>
  <si>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</si>
  <si>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</si>
  <si>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</si>
  <si>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</si>
  <si>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</si>
  <si>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</si>
  <si>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</si>
  <si>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</si>
  <si>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</si>
  <si>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</si>
  <si>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</si>
  <si>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</si>
  <si>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</si>
  <si>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</si>
  <si>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</si>
  <si>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</si>
  <si>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</si>
  <si>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</si>
  <si>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</si>
  <si>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</si>
  <si>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</si>
  <si>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</si>
  <si>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</si>
  <si>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</si>
  <si>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</si>
  <si>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</si>
  <si>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</si>
  <si>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</si>
  <si>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</si>
  <si>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</si>
  <si>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</si>
  <si>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</si>
  <si>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</si>
  <si>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</si>
  <si>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</si>
  <si>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</si>
  <si>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Conta1.PDF</t>
  </si>
  <si>
    <t>Conta2.PDF</t>
  </si>
  <si>
    <t>Conta3.PDF</t>
  </si>
  <si>
    <t>Conta4.PDF</t>
  </si>
  <si>
    <t>TOTAL</t>
  </si>
  <si>
    <t>ENTRADAS</t>
  </si>
  <si>
    <t>DATA</t>
  </si>
  <si>
    <t>CATEGORIA</t>
  </si>
  <si>
    <t>VALOR</t>
  </si>
  <si>
    <t>Free lancer</t>
  </si>
  <si>
    <t>Holerite</t>
  </si>
  <si>
    <t>SAÍDAS</t>
  </si>
  <si>
    <t>2. INFORMES DE RENDIMENTOS BANCÁRIOS</t>
  </si>
  <si>
    <t>3. NOTAS DE ENTRADAS E SAÍDAS</t>
  </si>
  <si>
    <t>Ensino</t>
  </si>
  <si>
    <t>Renda Declarada</t>
  </si>
  <si>
    <t>PREENCHER OS VALORES DE ENTRADAS E SAÍDAS E ANEXAR OS DOCUMENTOS</t>
  </si>
  <si>
    <t>ANEXOS 🖇️</t>
  </si>
  <si>
    <t>Médicas e Odontológicas</t>
  </si>
  <si>
    <t>FORNECEDOR</t>
  </si>
  <si>
    <t>FACULDADE UNIVERSAL</t>
  </si>
  <si>
    <t>DR. BIANCA ALMEIDA</t>
  </si>
  <si>
    <t>Gastos para Deduções Legais</t>
  </si>
  <si>
    <t>PREENCHA SEUS DADOS DA SUA PESSOA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</si>
</sst>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&quot;\ 00000&quot;-&quot;0000"/>
    <numFmt numFmtId="168" formatCode="&quot;R$&quot;\ #,##0.00"/>
    <numFmt numFmtId="169" formatCode="[$-416]d\-mmm;@"/>
  </numFmts>
  <fonts count="1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41436A"/>
      <name val="Aptos Narrow"/>
      <family val="2"/>
      <scheme val="minor"/>
    </font>
    <font>
      <sz val="11"/>
      <color rgb="FF41436A"/>
      <name val="Segoe UI"/>
      <family val="2"/>
    </font>
    <font>
      <i/>
      <sz val="10"/>
      <color rgb="FF41436A"/>
      <name val="Segoe UI"/>
      <family val="2"/>
    </font>
    <font>
      <u/>
      <sz val="11"/>
      <color theme="10"/>
      <name val="Aptos Narrow"/>
      <family val="2"/>
      <scheme val="minor"/>
    </font>
    <font>
      <i/>
      <sz val="10"/>
      <color theme="0"/>
      <name val="Segoe UI"/>
      <family val="2"/>
    </font>
    <font>
      <sz val="11"/>
      <color rgb="FF9C5700"/>
      <name val="Segoe UI"/>
      <family val="2"/>
    </font>
    <font>
      <u/>
      <sz val="11"/>
      <color theme="10"/>
      <name val="Segoe UI"/>
      <family val="2"/>
    </font>
    <font>
      <b/>
      <sz val="11"/>
      <color rgb="FF41436A"/>
      <name val="Segoe UI"/>
      <family val="2"/>
    </font>
    <font>
      <b/>
      <sz val="11"/>
      <color rgb="FF41436A"/>
      <name val="SegoUE "/>
    </font>
    <font>
      <b/>
      <sz val="11"/>
      <color theme="1"/>
      <name val="Segoe UI"/>
      <family val="2"/>
    </font>
    <font>
      <sz val="11"/>
      <color theme="0"/>
      <name val="Aptos Narrow"/>
      <family val="2"/>
      <scheme val="minor"/>
    </font>
    <font>
      <b/>
      <i/>
      <sz val="10"/>
      <color theme="0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41436A"/>
        <bgColor indexed="64"/>
      </patternFill>
    </fill>
    <fill>
      <patternFill patternType="solid">
        <fgColor rgb="FFFFEB9C"/>
      </patternFill>
    </fill>
    <fill>
      <patternFill patternType="solid">
        <fgColor rgb="FFFE967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8406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hair">
        <color rgb="FFF64668"/>
      </top>
      <bottom style="hair">
        <color rgb="FFF64668"/>
      </bottom>
      <diagonal/>
    </border>
    <border>
      <left/>
      <right/>
      <top/>
      <bottom style="thick">
        <color rgb="FF984063"/>
      </bottom>
      <diagonal/>
    </border>
    <border>
      <left/>
      <right/>
      <top style="thick">
        <color rgb="FF984063"/>
      </top>
      <bottom/>
      <diagonal/>
    </border>
    <border>
      <left/>
      <right/>
      <top style="hair">
        <color rgb="FFFE9677"/>
      </top>
      <bottom style="hair">
        <color rgb="FFFE9677"/>
      </bottom>
      <diagonal/>
    </border>
    <border>
      <left style="thick">
        <color rgb="FF984063"/>
      </left>
      <right style="thick">
        <color rgb="FF984063"/>
      </right>
      <top style="thick">
        <color rgb="FF984063"/>
      </top>
      <bottom style="thick">
        <color rgb="FF98406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4" fillId="0" borderId="0" xfId="0" applyFont="1"/>
    <xf numFmtId="0" fontId="3" fillId="6" borderId="0" xfId="0" applyFont="1" applyFill="1"/>
    <xf numFmtId="0" fontId="12" fillId="4" borderId="0" xfId="2" applyFont="1" applyFill="1" applyAlignment="1">
      <alignment horizontal="right" indent="1"/>
    </xf>
    <xf numFmtId="168" fontId="13" fillId="4" borderId="0" xfId="2" applyNumberFormat="1" applyFont="1" applyFill="1" applyAlignment="1">
      <alignment horizontal="left" indent="1"/>
    </xf>
    <xf numFmtId="0" fontId="9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0" fillId="5" borderId="2" xfId="2" applyFont="1" applyFill="1" applyBorder="1" applyAlignment="1" applyProtection="1">
      <alignment horizontal="left" indent="1"/>
      <protection locked="0"/>
    </xf>
    <xf numFmtId="164" fontId="10" fillId="5" borderId="2" xfId="2" applyNumberFormat="1" applyFont="1" applyFill="1" applyBorder="1" applyAlignment="1" applyProtection="1">
      <alignment horizontal="left" indent="1"/>
      <protection locked="0"/>
    </xf>
    <xf numFmtId="14" fontId="10" fillId="5" borderId="2" xfId="2" applyNumberFormat="1" applyFont="1" applyFill="1" applyBorder="1" applyAlignment="1" applyProtection="1">
      <alignment horizontal="left" indent="1"/>
      <protection locked="0"/>
    </xf>
    <xf numFmtId="165" fontId="10" fillId="5" borderId="2" xfId="2" applyNumberFormat="1" applyFont="1" applyFill="1" applyBorder="1" applyAlignment="1" applyProtection="1">
      <alignment horizontal="left" indent="1"/>
      <protection locked="0"/>
    </xf>
    <xf numFmtId="166" fontId="10" fillId="5" borderId="2" xfId="2" applyNumberFormat="1" applyFont="1" applyFill="1" applyBorder="1" applyAlignment="1" applyProtection="1">
      <alignment horizontal="left" indent="1"/>
      <protection locked="0"/>
    </xf>
    <xf numFmtId="167" fontId="10" fillId="5" borderId="2" xfId="2" applyNumberFormat="1" applyFont="1" applyFill="1" applyBorder="1" applyAlignment="1" applyProtection="1">
      <alignment horizontal="left" indent="1"/>
      <protection locked="0"/>
    </xf>
    <xf numFmtId="0" fontId="11" fillId="5" borderId="2" xfId="3" applyFont="1" applyFill="1" applyBorder="1" applyAlignment="1" applyProtection="1">
      <alignment horizontal="left" indent="1"/>
      <protection locked="0"/>
    </xf>
    <xf numFmtId="0" fontId="16" fillId="7" borderId="6" xfId="0" applyFont="1" applyFill="1" applyBorder="1" applyAlignment="1">
      <alignment horizontal="center"/>
    </xf>
    <xf numFmtId="0" fontId="0" fillId="5" borderId="0" xfId="0" applyFill="1"/>
    <xf numFmtId="0" fontId="5" fillId="5" borderId="3" xfId="1" applyFont="1" applyFill="1" applyBorder="1"/>
    <xf numFmtId="0" fontId="1" fillId="5" borderId="3" xfId="1" applyFill="1" applyBorder="1"/>
    <xf numFmtId="0" fontId="4" fillId="5" borderId="0" xfId="0" applyFont="1" applyFill="1"/>
    <xf numFmtId="0" fontId="6" fillId="5" borderId="2" xfId="0" applyFont="1" applyFill="1" applyBorder="1" applyAlignment="1">
      <alignment horizontal="right"/>
    </xf>
    <xf numFmtId="0" fontId="0" fillId="8" borderId="0" xfId="0" applyFill="1"/>
    <xf numFmtId="0" fontId="5" fillId="8" borderId="3" xfId="1" applyFont="1" applyFill="1" applyBorder="1"/>
    <xf numFmtId="0" fontId="1" fillId="8" borderId="3" xfId="1" applyFill="1" applyBorder="1"/>
    <xf numFmtId="0" fontId="4" fillId="8" borderId="0" xfId="0" applyFont="1" applyFill="1"/>
    <xf numFmtId="0" fontId="6" fillId="8" borderId="2" xfId="0" applyFont="1" applyFill="1" applyBorder="1" applyAlignment="1">
      <alignment horizontal="right"/>
    </xf>
    <xf numFmtId="0" fontId="10" fillId="8" borderId="2" xfId="2" applyFont="1" applyFill="1" applyBorder="1" applyAlignment="1" applyProtection="1">
      <alignment horizontal="left" indent="1"/>
      <protection locked="0"/>
    </xf>
    <xf numFmtId="0" fontId="15" fillId="8" borderId="0" xfId="0" applyFont="1" applyFill="1"/>
    <xf numFmtId="168" fontId="15" fillId="8" borderId="0" xfId="0" applyNumberFormat="1" applyFont="1" applyFill="1"/>
    <xf numFmtId="168" fontId="10" fillId="8" borderId="2" xfId="2" applyNumberFormat="1" applyFont="1" applyFill="1" applyBorder="1" applyAlignment="1" applyProtection="1">
      <alignment horizontal="left" indent="1"/>
      <protection locked="0"/>
    </xf>
    <xf numFmtId="14" fontId="10" fillId="8" borderId="2" xfId="2" applyNumberFormat="1" applyFont="1" applyFill="1" applyBorder="1" applyAlignment="1" applyProtection="1">
      <alignment horizontal="left" indent="1"/>
      <protection locked="0"/>
    </xf>
    <xf numFmtId="0" fontId="4" fillId="8" borderId="0" xfId="0" applyFont="1" applyFill="1" applyProtection="1">
      <protection locked="0"/>
    </xf>
    <xf numFmtId="0" fontId="6" fillId="8" borderId="0" xfId="0" applyFont="1" applyFill="1" applyAlignment="1">
      <alignment horizontal="right"/>
    </xf>
    <xf numFmtId="0" fontId="2" fillId="8" borderId="0" xfId="2" applyFill="1" applyBorder="1" applyAlignment="1">
      <alignment horizontal="left" indent="1"/>
    </xf>
    <xf numFmtId="168" fontId="2" fillId="8" borderId="0" xfId="2" applyNumberFormat="1" applyFill="1" applyBorder="1" applyAlignment="1">
      <alignment horizontal="left" indent="1"/>
    </xf>
    <xf numFmtId="14" fontId="2" fillId="8" borderId="0" xfId="2" applyNumberFormat="1" applyFill="1" applyBorder="1" applyAlignment="1">
      <alignment horizontal="left" indent="1"/>
    </xf>
    <xf numFmtId="0" fontId="9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69" fontId="12" fillId="8" borderId="2" xfId="0" applyNumberFormat="1" applyFont="1" applyFill="1" applyBorder="1" applyAlignment="1" applyProtection="1">
      <alignment horizontal="center" vertical="center"/>
      <protection locked="0"/>
    </xf>
    <xf numFmtId="0" fontId="12" fillId="8" borderId="2" xfId="0" applyFont="1" applyFill="1" applyBorder="1" applyAlignment="1" applyProtection="1">
      <alignment horizontal="center" vertical="center"/>
      <protection locked="0"/>
    </xf>
    <xf numFmtId="168" fontId="12" fillId="8" borderId="2" xfId="0" applyNumberFormat="1" applyFont="1" applyFill="1" applyBorder="1" applyAlignment="1" applyProtection="1">
      <alignment horizontal="center" vertical="center"/>
      <protection locked="0"/>
    </xf>
    <xf numFmtId="49" fontId="12" fillId="8" borderId="5" xfId="0" applyNumberFormat="1" applyFont="1" applyFill="1" applyBorder="1" applyAlignment="1" applyProtection="1">
      <alignment horizontal="center" vertical="center"/>
      <protection locked="0"/>
    </xf>
    <xf numFmtId="0" fontId="12" fillId="8" borderId="5" xfId="0" applyFont="1" applyFill="1" applyBorder="1" applyAlignment="1" applyProtection="1">
      <alignment horizontal="center" vertical="center"/>
      <protection locked="0"/>
    </xf>
    <xf numFmtId="168" fontId="12" fillId="8" borderId="5" xfId="0" applyNumberFormat="1" applyFont="1" applyFill="1" applyBorder="1" applyAlignment="1" applyProtection="1">
      <alignment horizontal="center" vertical="center"/>
      <protection locked="0"/>
    </xf>
    <xf numFmtId="0" fontId="12" fillId="8" borderId="0" xfId="0" applyFont="1" applyFill="1"/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right"/>
    </xf>
    <xf numFmtId="168" fontId="18" fillId="7" borderId="0" xfId="0" applyNumberFormat="1" applyFont="1" applyFill="1" applyAlignment="1">
      <alignment horizontal="left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numFmt numFmtId="168" formatCode="&quot;R$&quot;\ #,##0.00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E9677"/>
        </top>
        <bottom style="hair">
          <color rgb="FFFE9677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E9677"/>
        </top>
        <bottom style="hair">
          <color rgb="FFFE9677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numFmt numFmtId="30" formatCode="@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E9677"/>
        </top>
        <bottom style="hair">
          <color rgb="FFFE9677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numFmt numFmtId="168" formatCode="&quot;R$&quot;\ #,##0.00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64668"/>
        </top>
        <bottom style="hair">
          <color rgb="FFF64668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64668"/>
        </top>
        <bottom style="hair">
          <color rgb="FFF64668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1436A"/>
        <name val="Segoe UI"/>
        <family val="2"/>
        <scheme val="none"/>
      </font>
      <numFmt numFmtId="169" formatCode="[$-416]d\-mmm;@"/>
      <fill>
        <patternFill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rgb="FFF64668"/>
        </top>
        <bottom style="hair">
          <color rgb="FFF64668"/>
        </bottom>
      </border>
      <protection locked="0" hidden="0"/>
    </dxf>
  </dxfs>
  <tableStyles count="0" defaultTableStyle="TableStyleMedium2" defaultPivotStyle="PivotStyleLight16"/>
  <colors>
    <mruColors>
      <color rgb="FF984063"/>
      <color rgb="FF41436A"/>
      <color rgb="FFFE9677"/>
      <color rgb="FFF6466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rgbClr val="41436A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Renda</a:t>
            </a:r>
            <a:r>
              <a:rPr lang="pt-BR" sz="1200" b="1" baseline="0">
                <a:solidFill>
                  <a:srgbClr val="41436A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por Instituição Financeira</a:t>
            </a:r>
            <a:endParaRPr lang="pt-BR" sz="1200" b="1">
              <a:solidFill>
                <a:srgbClr val="41436A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Informes!$G$11:$G$16</c:f>
              <c:strCache>
                <c:ptCount val="6"/>
                <c:pt idx="0">
                  <c:v>3 - Banco da Amazônia</c:v>
                </c:pt>
                <c:pt idx="1">
                  <c:v>184 - Banco Itaú BBA S.A.</c:v>
                </c:pt>
                <c:pt idx="2">
                  <c:v>1 - Banco do Brasil</c:v>
                </c:pt>
                <c:pt idx="3">
                  <c:v>218 - Banco Bonsucesso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Informes!$J$11:$J$16</c:f>
              <c:numCache>
                <c:formatCode>"R$"\ #,##0.00</c:formatCode>
                <c:ptCount val="6"/>
                <c:pt idx="0">
                  <c:v>50000</c:v>
                </c:pt>
                <c:pt idx="1">
                  <c:v>10000</c:v>
                </c:pt>
                <c:pt idx="2">
                  <c:v>2500</c:v>
                </c:pt>
                <c:pt idx="3">
                  <c:v>4500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B6-4689-BEC5-5B6BA294A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Informes!$G$11:$G$16</c15:sqref>
                        </c15:formulaRef>
                      </c:ext>
                    </c:extLst>
                    <c:strCache>
                      <c:ptCount val="6"/>
                      <c:pt idx="0">
                        <c:v>3 - Banco da Amazônia</c:v>
                      </c:pt>
                      <c:pt idx="1">
                        <c:v>184 - Banco Itaú BBA S.A.</c:v>
                      </c:pt>
                      <c:pt idx="2">
                        <c:v>1 - Banco do Brasil</c:v>
                      </c:pt>
                      <c:pt idx="3">
                        <c:v>218 - Banco Bonsucesso</c:v>
                      </c:pt>
                      <c:pt idx="4">
                        <c:v>0</c:v>
                      </c:pt>
                      <c:pt idx="5">
                        <c:v>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Informes!$H$11:$H$16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B6-4689-BEC5-5B6BA294A2F9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Informes!$G$11:$G$16</c15:sqref>
                        </c15:formulaRef>
                      </c:ext>
                    </c:extLst>
                    <c:strCache>
                      <c:ptCount val="6"/>
                      <c:pt idx="0">
                        <c:v>3 - Banco da Amazônia</c:v>
                      </c:pt>
                      <c:pt idx="1">
                        <c:v>184 - Banco Itaú BBA S.A.</c:v>
                      </c:pt>
                      <c:pt idx="2">
                        <c:v>1 - Banco do Brasil</c:v>
                      </c:pt>
                      <c:pt idx="3">
                        <c:v>218 - Banco Bonsucesso</c:v>
                      </c:pt>
                      <c:pt idx="4">
                        <c:v>0</c:v>
                      </c:pt>
                      <c:pt idx="5">
                        <c:v>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Informes!$I$11:$I$16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CB6-4689-BEC5-5B6BA294A2F9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E9677">
        <a:alpha val="81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hyperlink" Target="#T&#237;tular!B1"/><Relationship Id="rId1" Type="http://schemas.openxmlformats.org/officeDocument/2006/relationships/image" Target="../media/image1.png"/><Relationship Id="rId5" Type="http://schemas.openxmlformats.org/officeDocument/2006/relationships/hyperlink" Target="#Informes!C4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7" Type="http://schemas.openxmlformats.org/officeDocument/2006/relationships/chart" Target="../charts/chart1.xml"/><Relationship Id="rId2" Type="http://schemas.openxmlformats.org/officeDocument/2006/relationships/hyperlink" Target="#T&#237;tular!B1"/><Relationship Id="rId1" Type="http://schemas.openxmlformats.org/officeDocument/2006/relationships/image" Target="../media/image1.png"/><Relationship Id="rId6" Type="http://schemas.openxmlformats.org/officeDocument/2006/relationships/hyperlink" Target="#T&#237;tular!C4"/><Relationship Id="rId5" Type="http://schemas.openxmlformats.org/officeDocument/2006/relationships/hyperlink" Target="#Notas!C4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B1"/><Relationship Id="rId2" Type="http://schemas.openxmlformats.org/officeDocument/2006/relationships/hyperlink" Target="#T&#237;tular!B1"/><Relationship Id="rId1" Type="http://schemas.openxmlformats.org/officeDocument/2006/relationships/image" Target="../media/image1.png"/><Relationship Id="rId5" Type="http://schemas.openxmlformats.org/officeDocument/2006/relationships/hyperlink" Target="#Informes!C4"/><Relationship Id="rId4" Type="http://schemas.openxmlformats.org/officeDocument/2006/relationships/hyperlink" Target="#Nota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16384</xdr:col>
      <xdr:colOff>304800</xdr:colOff>
      <xdr:row>5</xdr:row>
      <xdr:rowOff>85725</xdr:rowOff>
    </xdr:to>
    <xdr:sp macro="" textlink="">
      <xdr:nvSpPr>
        <xdr:cNvPr id="1027" name="AutoShape 3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FED2A695-7817-020E-48C3-AF4F2A79702E}"/>
            </a:ext>
          </a:extLst>
        </xdr:cNvPr>
        <xdr:cNvSpPr>
          <a:spLocks noChangeAspect="1" noChangeArrowheads="1"/>
        </xdr:cNvSpPr>
      </xdr:nvSpPr>
      <xdr:spPr bwMode="auto">
        <a:xfrm>
          <a:off x="5334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16384</xdr:col>
      <xdr:colOff>304800</xdr:colOff>
      <xdr:row>5</xdr:row>
      <xdr:rowOff>85725</xdr:rowOff>
    </xdr:to>
    <xdr:sp macro="" textlink="">
      <xdr:nvSpPr>
        <xdr:cNvPr id="1028" name="AutoShape 4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52F07B3B-8922-EC23-6798-29E52DCE3A77}"/>
            </a:ext>
          </a:extLst>
        </xdr:cNvPr>
        <xdr:cNvSpPr>
          <a:spLocks noChangeAspect="1" noChangeArrowheads="1"/>
        </xdr:cNvSpPr>
      </xdr:nvSpPr>
      <xdr:spPr bwMode="auto">
        <a:xfrm>
          <a:off x="5334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481012</xdr:colOff>
      <xdr:row>3</xdr:row>
      <xdr:rowOff>219074</xdr:rowOff>
    </xdr:from>
    <xdr:to>
      <xdr:col>0</xdr:col>
      <xdr:colOff>2871788</xdr:colOff>
      <xdr:row>15</xdr:row>
      <xdr:rowOff>47625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8406535-2C94-B020-B2F1-F5150019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" y="790574"/>
          <a:ext cx="2390776" cy="2390776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39700" h="139700" prst="divot"/>
        </a:sp3d>
      </xdr:spPr>
    </xdr:pic>
    <xdr:clientData/>
  </xdr:twoCellAnchor>
  <xdr:twoCellAnchor editAs="absolute">
    <xdr:from>
      <xdr:col>0</xdr:col>
      <xdr:colOff>481012</xdr:colOff>
      <xdr:row>0</xdr:row>
      <xdr:rowOff>114299</xdr:rowOff>
    </xdr:from>
    <xdr:to>
      <xdr:col>0</xdr:col>
      <xdr:colOff>2871788</xdr:colOff>
      <xdr:row>3</xdr:row>
      <xdr:rowOff>104774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323BBE48-E846-FBA8-DCA0-4BCDE3F85A70}"/>
            </a:ext>
          </a:extLst>
        </xdr:cNvPr>
        <xdr:cNvSpPr/>
      </xdr:nvSpPr>
      <xdr:spPr>
        <a:xfrm>
          <a:off x="481012" y="114299"/>
          <a:ext cx="2390776" cy="561975"/>
        </a:xfrm>
        <a:prstGeom prst="rect">
          <a:avLst/>
        </a:prstGeom>
        <a:gradFill>
          <a:gsLst>
            <a:gs pos="79992">
              <a:srgbClr val="F64668"/>
            </a:gs>
            <a:gs pos="14000">
              <a:schemeClr val="accent1">
                <a:lumMod val="5000"/>
                <a:lumOff val="95000"/>
              </a:schemeClr>
            </a:gs>
            <a:gs pos="59000">
              <a:srgbClr val="984063"/>
            </a:gs>
            <a:gs pos="37000">
              <a:srgbClr val="41436A"/>
            </a:gs>
            <a:gs pos="100000">
              <a:srgbClr val="FE967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>
            <a:bevelB w="50800" h="38100" prst="relaxedInset"/>
          </a:sp3d>
        </a:bodyPr>
        <a:lstStyle/>
        <a:p>
          <a:pPr algn="ctr"/>
          <a:r>
            <a:rPr lang="pt-BR" sz="1200" b="1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CONTROLE</a:t>
          </a:r>
          <a:r>
            <a:rPr lang="pt-BR" sz="1200" b="1" baseline="0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 DE INFORMES </a:t>
          </a:r>
          <a:endParaRPr lang="pt-BR" sz="1200" b="1">
            <a:solidFill>
              <a:schemeClr val="bg1"/>
            </a:solidFill>
            <a:latin typeface="Aharoni" panose="020F0502020204030204" pitchFamily="2" charset="-79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0</xdr:col>
      <xdr:colOff>481012</xdr:colOff>
      <xdr:row>16</xdr:row>
      <xdr:rowOff>104775</xdr:rowOff>
    </xdr:from>
    <xdr:to>
      <xdr:col>0</xdr:col>
      <xdr:colOff>2871788</xdr:colOff>
      <xdr:row>19</xdr:row>
      <xdr:rowOff>47625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DDB398-4031-97F4-D444-B616A113D6FB}"/>
            </a:ext>
          </a:extLst>
        </xdr:cNvPr>
        <xdr:cNvSpPr/>
      </xdr:nvSpPr>
      <xdr:spPr>
        <a:xfrm>
          <a:off x="481012" y="3448050"/>
          <a:ext cx="2390776" cy="571500"/>
        </a:xfrm>
        <a:prstGeom prst="roundRect">
          <a:avLst>
            <a:gd name="adj" fmla="val 41667"/>
          </a:avLst>
        </a:prstGeom>
        <a:gradFill>
          <a:gsLst>
            <a:gs pos="28000">
              <a:schemeClr val="accent1">
                <a:lumMod val="5000"/>
                <a:lumOff val="95000"/>
              </a:schemeClr>
            </a:gs>
            <a:gs pos="53000">
              <a:srgbClr val="984063"/>
            </a:gs>
            <a:gs pos="85000">
              <a:srgbClr val="F64668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481012</xdr:colOff>
      <xdr:row>19</xdr:row>
      <xdr:rowOff>200025</xdr:rowOff>
    </xdr:from>
    <xdr:to>
      <xdr:col>0</xdr:col>
      <xdr:colOff>2871788</xdr:colOff>
      <xdr:row>22</xdr:row>
      <xdr:rowOff>180975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0E758A-16BA-478C-B53A-8A2A66AC5A8A}"/>
            </a:ext>
          </a:extLst>
        </xdr:cNvPr>
        <xdr:cNvSpPr/>
      </xdr:nvSpPr>
      <xdr:spPr>
        <a:xfrm>
          <a:off x="481012" y="4171950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481012</xdr:colOff>
      <xdr:row>24</xdr:row>
      <xdr:rowOff>76200</xdr:rowOff>
    </xdr:from>
    <xdr:to>
      <xdr:col>0</xdr:col>
      <xdr:colOff>2871788</xdr:colOff>
      <xdr:row>27</xdr:row>
      <xdr:rowOff>76200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599D38-9B73-420A-847D-00815911D092}"/>
            </a:ext>
          </a:extLst>
        </xdr:cNvPr>
        <xdr:cNvSpPr/>
      </xdr:nvSpPr>
      <xdr:spPr>
        <a:xfrm>
          <a:off x="481012" y="5019675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676275</xdr:colOff>
      <xdr:row>29</xdr:row>
      <xdr:rowOff>38100</xdr:rowOff>
    </xdr:from>
    <xdr:to>
      <xdr:col>0</xdr:col>
      <xdr:colOff>2505075</xdr:colOff>
      <xdr:row>31</xdr:row>
      <xdr:rowOff>38100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A6809688-7331-6DBD-FDAF-4A7C840DB951}"/>
            </a:ext>
          </a:extLst>
        </xdr:cNvPr>
        <xdr:cNvSpPr/>
      </xdr:nvSpPr>
      <xdr:spPr>
        <a:xfrm>
          <a:off x="676275" y="5934075"/>
          <a:ext cx="1828800" cy="381000"/>
        </a:xfrm>
        <a:prstGeom prst="roundRect">
          <a:avLst/>
        </a:prstGeom>
        <a:solidFill>
          <a:srgbClr val="4143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DRE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Sistemas </a:t>
          </a:r>
          <a:r>
            <a:rPr lang="pt-BR" sz="1100" baseline="0"/>
            <a:t>📝</a:t>
          </a:r>
          <a:endParaRPr lang="pt-BR" sz="1100"/>
        </a:p>
      </xdr:txBody>
    </xdr:sp>
    <xdr:clientData/>
  </xdr:twoCellAnchor>
  <xdr:twoCellAnchor editAs="absolute">
    <xdr:from>
      <xdr:col>0</xdr:col>
      <xdr:colOff>161925</xdr:colOff>
      <xdr:row>29</xdr:row>
      <xdr:rowOff>28575</xdr:rowOff>
    </xdr:from>
    <xdr:to>
      <xdr:col>0</xdr:col>
      <xdr:colOff>3033713</xdr:colOff>
      <xdr:row>29</xdr:row>
      <xdr:rowOff>28575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1B58718D-D555-C89E-5DC3-A07135BD60F7}"/>
            </a:ext>
          </a:extLst>
        </xdr:cNvPr>
        <xdr:cNvCxnSpPr/>
      </xdr:nvCxnSpPr>
      <xdr:spPr>
        <a:xfrm>
          <a:off x="161925" y="5924550"/>
          <a:ext cx="2871788" cy="0"/>
        </a:xfrm>
        <a:prstGeom prst="line">
          <a:avLst/>
        </a:prstGeom>
        <a:ln>
          <a:solidFill>
            <a:srgbClr val="FE967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219075</xdr:colOff>
      <xdr:row>20</xdr:row>
      <xdr:rowOff>123825</xdr:rowOff>
    </xdr:from>
    <xdr:to>
      <xdr:col>3</xdr:col>
      <xdr:colOff>3190875</xdr:colOff>
      <xdr:row>23</xdr:row>
      <xdr:rowOff>66675</xdr:rowOff>
    </xdr:to>
    <xdr:sp macro="" textlink="">
      <xdr:nvSpPr>
        <xdr:cNvPr id="2" name="Retângulo: Cantos Arredondados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F035D9-2065-D342-BA7C-229EA1FD8401}"/>
            </a:ext>
          </a:extLst>
        </xdr:cNvPr>
        <xdr:cNvSpPr/>
      </xdr:nvSpPr>
      <xdr:spPr>
        <a:xfrm>
          <a:off x="7162800" y="4305300"/>
          <a:ext cx="2971800" cy="514350"/>
        </a:xfrm>
        <a:prstGeom prst="roundRect">
          <a:avLst>
            <a:gd name="adj" fmla="val 48334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chemeClr val="bg1"/>
              </a:solidFill>
            </a:rPr>
            <a:t>PRÓXIMO</a:t>
          </a:r>
          <a:r>
            <a:rPr lang="pt-BR" sz="1100"/>
            <a:t>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95250</xdr:rowOff>
    </xdr:to>
    <xdr:sp macro="" textlink="">
      <xdr:nvSpPr>
        <xdr:cNvPr id="2" name="AutoShape 2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3093E9C2-E9B9-429F-9571-A2A1F0A1B913}"/>
            </a:ext>
          </a:extLst>
        </xdr:cNvPr>
        <xdr:cNvSpPr>
          <a:spLocks noChangeAspect="1" noChangeArrowheads="1"/>
        </xdr:cNvSpPr>
      </xdr:nvSpPr>
      <xdr:spPr bwMode="auto">
        <a:xfrm>
          <a:off x="6076950" y="3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104775</xdr:rowOff>
    </xdr:to>
    <xdr:sp macro="" textlink="">
      <xdr:nvSpPr>
        <xdr:cNvPr id="3" name="AutoShape 3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36C264BA-CE06-4939-B7B9-F5BC37C0D9E0}"/>
            </a:ext>
          </a:extLst>
        </xdr:cNvPr>
        <xdr:cNvSpPr>
          <a:spLocks noChangeAspect="1" noChangeArrowheads="1"/>
        </xdr:cNvSpPr>
      </xdr:nvSpPr>
      <xdr:spPr bwMode="auto">
        <a:xfrm>
          <a:off x="60769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104775</xdr:rowOff>
    </xdr:to>
    <xdr:sp macro="" textlink="">
      <xdr:nvSpPr>
        <xdr:cNvPr id="4" name="AutoShape 4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2D60112C-8381-4A1C-9CB1-9CC03663C1D9}"/>
            </a:ext>
          </a:extLst>
        </xdr:cNvPr>
        <xdr:cNvSpPr>
          <a:spLocks noChangeAspect="1" noChangeArrowheads="1"/>
        </xdr:cNvSpPr>
      </xdr:nvSpPr>
      <xdr:spPr bwMode="auto">
        <a:xfrm>
          <a:off x="60769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95250</xdr:rowOff>
    </xdr:to>
    <xdr:sp macro="" textlink="">
      <xdr:nvSpPr>
        <xdr:cNvPr id="5" name="AutoShape 8" descr="Ilustração de leão laranja e marrom, girafa leão Cartoon infantil, leão dos  desenhos animados, Personagem de desenho animado, mamífero, animais png |  PNGWing">
          <a:extLst>
            <a:ext uri="{FF2B5EF4-FFF2-40B4-BE49-F238E27FC236}">
              <a16:creationId xmlns:a16="http://schemas.microsoft.com/office/drawing/2014/main" id="{466FFEDB-03C0-4F0C-924E-AF96AD6FB164}"/>
            </a:ext>
          </a:extLst>
        </xdr:cNvPr>
        <xdr:cNvSpPr>
          <a:spLocks noChangeAspect="1" noChangeArrowheads="1"/>
        </xdr:cNvSpPr>
      </xdr:nvSpPr>
      <xdr:spPr bwMode="auto">
        <a:xfrm>
          <a:off x="6686550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481012</xdr:colOff>
      <xdr:row>3</xdr:row>
      <xdr:rowOff>219074</xdr:rowOff>
    </xdr:from>
    <xdr:to>
      <xdr:col>0</xdr:col>
      <xdr:colOff>2871788</xdr:colOff>
      <xdr:row>15</xdr:row>
      <xdr:rowOff>104775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B150F89-AC80-4A13-9BA5-FDE148C4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" y="790574"/>
          <a:ext cx="2390776" cy="2390776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39700" h="139700" prst="divot"/>
        </a:sp3d>
      </xdr:spPr>
    </xdr:pic>
    <xdr:clientData/>
  </xdr:twoCellAnchor>
  <xdr:twoCellAnchor editAs="absolute">
    <xdr:from>
      <xdr:col>0</xdr:col>
      <xdr:colOff>481012</xdr:colOff>
      <xdr:row>0</xdr:row>
      <xdr:rowOff>114299</xdr:rowOff>
    </xdr:from>
    <xdr:to>
      <xdr:col>0</xdr:col>
      <xdr:colOff>2871788</xdr:colOff>
      <xdr:row>3</xdr:row>
      <xdr:rowOff>104774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CA0533F-99C8-4175-BEF5-93CAE13C6052}"/>
            </a:ext>
          </a:extLst>
        </xdr:cNvPr>
        <xdr:cNvSpPr/>
      </xdr:nvSpPr>
      <xdr:spPr>
        <a:xfrm>
          <a:off x="481012" y="114299"/>
          <a:ext cx="2390776" cy="561975"/>
        </a:xfrm>
        <a:prstGeom prst="rect">
          <a:avLst/>
        </a:prstGeom>
        <a:gradFill>
          <a:gsLst>
            <a:gs pos="79992">
              <a:srgbClr val="F64668"/>
            </a:gs>
            <a:gs pos="14000">
              <a:schemeClr val="accent1">
                <a:lumMod val="5000"/>
                <a:lumOff val="95000"/>
              </a:schemeClr>
            </a:gs>
            <a:gs pos="59000">
              <a:srgbClr val="984063"/>
            </a:gs>
            <a:gs pos="37000">
              <a:srgbClr val="41436A"/>
            </a:gs>
            <a:gs pos="100000">
              <a:srgbClr val="FE967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>
            <a:bevelB w="50800" h="38100" prst="relaxedInset"/>
          </a:sp3d>
        </a:bodyPr>
        <a:lstStyle/>
        <a:p>
          <a:pPr algn="ctr"/>
          <a:r>
            <a:rPr lang="pt-BR" sz="1200" b="1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CONTROLE</a:t>
          </a:r>
          <a:r>
            <a:rPr lang="pt-BR" sz="1200" b="1" baseline="0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 DE INFORMES </a:t>
          </a:r>
          <a:endParaRPr lang="pt-BR" sz="1200" b="1">
            <a:solidFill>
              <a:schemeClr val="bg1"/>
            </a:solidFill>
            <a:latin typeface="Aharoni" panose="020F0502020204030204" pitchFamily="2" charset="-79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0</xdr:col>
      <xdr:colOff>481012</xdr:colOff>
      <xdr:row>16</xdr:row>
      <xdr:rowOff>161925</xdr:rowOff>
    </xdr:from>
    <xdr:to>
      <xdr:col>0</xdr:col>
      <xdr:colOff>2871788</xdr:colOff>
      <xdr:row>19</xdr:row>
      <xdr:rowOff>104775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3C7884-EB21-4698-AA9B-D2C571B9BF67}"/>
            </a:ext>
          </a:extLst>
        </xdr:cNvPr>
        <xdr:cNvSpPr/>
      </xdr:nvSpPr>
      <xdr:spPr>
        <a:xfrm>
          <a:off x="481012" y="3448050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481012</xdr:colOff>
      <xdr:row>20</xdr:row>
      <xdr:rowOff>47625</xdr:rowOff>
    </xdr:from>
    <xdr:to>
      <xdr:col>0</xdr:col>
      <xdr:colOff>2871788</xdr:colOff>
      <xdr:row>22</xdr:row>
      <xdr:rowOff>200025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ACB001-8681-46A9-9852-1A8E3659EC2C}"/>
            </a:ext>
          </a:extLst>
        </xdr:cNvPr>
        <xdr:cNvSpPr/>
      </xdr:nvSpPr>
      <xdr:spPr>
        <a:xfrm>
          <a:off x="481012" y="4171950"/>
          <a:ext cx="2390776" cy="571500"/>
        </a:xfrm>
        <a:prstGeom prst="roundRect">
          <a:avLst>
            <a:gd name="adj" fmla="val 41667"/>
          </a:avLst>
        </a:prstGeom>
        <a:gradFill>
          <a:gsLst>
            <a:gs pos="28000">
              <a:schemeClr val="accent1">
                <a:lumMod val="5000"/>
                <a:lumOff val="95000"/>
              </a:schemeClr>
            </a:gs>
            <a:gs pos="53000">
              <a:srgbClr val="984063"/>
            </a:gs>
            <a:gs pos="85000">
              <a:srgbClr val="F64668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481012</xdr:colOff>
      <xdr:row>24</xdr:row>
      <xdr:rowOff>57150</xdr:rowOff>
    </xdr:from>
    <xdr:to>
      <xdr:col>0</xdr:col>
      <xdr:colOff>2871788</xdr:colOff>
      <xdr:row>27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9B5983-73AE-477A-985B-B4ECF6BA4CFD}"/>
            </a:ext>
          </a:extLst>
        </xdr:cNvPr>
        <xdr:cNvSpPr/>
      </xdr:nvSpPr>
      <xdr:spPr>
        <a:xfrm>
          <a:off x="481012" y="5019675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676275</xdr:colOff>
      <xdr:row>28</xdr:row>
      <xdr:rowOff>133350</xdr:rowOff>
    </xdr:from>
    <xdr:to>
      <xdr:col>0</xdr:col>
      <xdr:colOff>2505075</xdr:colOff>
      <xdr:row>30</xdr:row>
      <xdr:rowOff>95250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9BBEB98-D121-4966-B7F0-648FE1E2F5CF}"/>
            </a:ext>
          </a:extLst>
        </xdr:cNvPr>
        <xdr:cNvSpPr/>
      </xdr:nvSpPr>
      <xdr:spPr>
        <a:xfrm>
          <a:off x="676275" y="5934075"/>
          <a:ext cx="1828800" cy="381000"/>
        </a:xfrm>
        <a:prstGeom prst="roundRect">
          <a:avLst/>
        </a:prstGeom>
        <a:solidFill>
          <a:srgbClr val="4143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DRE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Sistemas </a:t>
          </a:r>
          <a:r>
            <a:rPr lang="pt-BR" sz="1100" baseline="0"/>
            <a:t>📝</a:t>
          </a:r>
          <a:endParaRPr lang="pt-BR" sz="1100"/>
        </a:p>
      </xdr:txBody>
    </xdr:sp>
    <xdr:clientData/>
  </xdr:twoCellAnchor>
  <xdr:twoCellAnchor editAs="absolute">
    <xdr:from>
      <xdr:col>0</xdr:col>
      <xdr:colOff>161925</xdr:colOff>
      <xdr:row>28</xdr:row>
      <xdr:rowOff>123825</xdr:rowOff>
    </xdr:from>
    <xdr:to>
      <xdr:col>0</xdr:col>
      <xdr:colOff>3033713</xdr:colOff>
      <xdr:row>28</xdr:row>
      <xdr:rowOff>123825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BA6470E-80A3-4D37-9957-8D820A4FF3FE}"/>
            </a:ext>
          </a:extLst>
        </xdr:cNvPr>
        <xdr:cNvCxnSpPr/>
      </xdr:nvCxnSpPr>
      <xdr:spPr>
        <a:xfrm>
          <a:off x="161925" y="5924550"/>
          <a:ext cx="2871788" cy="0"/>
        </a:xfrm>
        <a:prstGeom prst="line">
          <a:avLst/>
        </a:prstGeom>
        <a:ln>
          <a:solidFill>
            <a:srgbClr val="FE967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161925</xdr:colOff>
      <xdr:row>36</xdr:row>
      <xdr:rowOff>85725</xdr:rowOff>
    </xdr:from>
    <xdr:to>
      <xdr:col>3</xdr:col>
      <xdr:colOff>3143250</xdr:colOff>
      <xdr:row>39</xdr:row>
      <xdr:rowOff>47625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66C50D-5C53-4520-AD17-3306B9DF1CF5}"/>
            </a:ext>
          </a:extLst>
        </xdr:cNvPr>
        <xdr:cNvSpPr/>
      </xdr:nvSpPr>
      <xdr:spPr>
        <a:xfrm>
          <a:off x="7439025" y="7562850"/>
          <a:ext cx="2981325" cy="571500"/>
        </a:xfrm>
        <a:prstGeom prst="roundRect">
          <a:avLst>
            <a:gd name="adj" fmla="val 48334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chemeClr val="bg1"/>
              </a:solidFill>
            </a:rPr>
            <a:t>PRÓXIMO</a:t>
          </a:r>
          <a:r>
            <a:rPr lang="pt-BR" sz="1100"/>
            <a:t> ➡️</a:t>
          </a:r>
        </a:p>
      </xdr:txBody>
    </xdr:sp>
    <xdr:clientData/>
  </xdr:twoCellAnchor>
  <xdr:twoCellAnchor editAs="absolute">
    <xdr:from>
      <xdr:col>2</xdr:col>
      <xdr:colOff>238125</xdr:colOff>
      <xdr:row>36</xdr:row>
      <xdr:rowOff>57150</xdr:rowOff>
    </xdr:from>
    <xdr:to>
      <xdr:col>2</xdr:col>
      <xdr:colOff>3124201</xdr:colOff>
      <xdr:row>39</xdr:row>
      <xdr:rowOff>9525</xdr:rowOff>
    </xdr:to>
    <xdr:sp macro="" textlink="">
      <xdr:nvSpPr>
        <xdr:cNvPr id="17" name="Retângulo: Cantos Arredondados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694923-5328-4C7B-A9D6-8B299051AE73}"/>
            </a:ext>
          </a:extLst>
        </xdr:cNvPr>
        <xdr:cNvSpPr/>
      </xdr:nvSpPr>
      <xdr:spPr>
        <a:xfrm>
          <a:off x="4133850" y="7534275"/>
          <a:ext cx="2886076" cy="561975"/>
        </a:xfrm>
        <a:prstGeom prst="roundRect">
          <a:avLst>
            <a:gd name="adj" fmla="val 48334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chemeClr val="bg1"/>
              </a:solidFill>
            </a:rPr>
            <a:t>⬅️ANTERIOR</a:t>
          </a:r>
          <a:endParaRPr lang="pt-BR" sz="1100"/>
        </a:p>
      </xdr:txBody>
    </xdr:sp>
    <xdr:clientData/>
  </xdr:twoCellAnchor>
  <xdr:twoCellAnchor>
    <xdr:from>
      <xdr:col>4</xdr:col>
      <xdr:colOff>295275</xdr:colOff>
      <xdr:row>9</xdr:row>
      <xdr:rowOff>161925</xdr:rowOff>
    </xdr:from>
    <xdr:to>
      <xdr:col>11</xdr:col>
      <xdr:colOff>66675</xdr:colOff>
      <xdr:row>22</xdr:row>
      <xdr:rowOff>95249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902ADF4-322E-20D3-C65C-3FE3D84F8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95250</xdr:rowOff>
    </xdr:to>
    <xdr:sp macro="" textlink="">
      <xdr:nvSpPr>
        <xdr:cNvPr id="2" name="AutoShape 2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7D40A697-2E36-44B2-A850-9F184169F6C7}"/>
            </a:ext>
          </a:extLst>
        </xdr:cNvPr>
        <xdr:cNvSpPr>
          <a:spLocks noChangeAspect="1" noChangeArrowheads="1"/>
        </xdr:cNvSpPr>
      </xdr:nvSpPr>
      <xdr:spPr bwMode="auto">
        <a:xfrm>
          <a:off x="6076950" y="3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85725</xdr:rowOff>
    </xdr:to>
    <xdr:sp macro="" textlink="">
      <xdr:nvSpPr>
        <xdr:cNvPr id="3" name="AutoShape 3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48C6199E-F869-472F-B891-7779CAEBF563}"/>
            </a:ext>
          </a:extLst>
        </xdr:cNvPr>
        <xdr:cNvSpPr>
          <a:spLocks noChangeAspect="1" noChangeArrowheads="1"/>
        </xdr:cNvSpPr>
      </xdr:nvSpPr>
      <xdr:spPr bwMode="auto">
        <a:xfrm>
          <a:off x="60769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85725</xdr:rowOff>
    </xdr:to>
    <xdr:sp macro="" textlink="">
      <xdr:nvSpPr>
        <xdr:cNvPr id="4" name="AutoShape 4" descr="Leão, leão, cabeça de leão laranja criativa, mamífero, animais, gato Como  mamífero png | PNGWing">
          <a:extLst>
            <a:ext uri="{FF2B5EF4-FFF2-40B4-BE49-F238E27FC236}">
              <a16:creationId xmlns:a16="http://schemas.microsoft.com/office/drawing/2014/main" id="{0230AB83-9358-4301-B199-D70E875059A9}"/>
            </a:ext>
          </a:extLst>
        </xdr:cNvPr>
        <xdr:cNvSpPr>
          <a:spLocks noChangeAspect="1" noChangeArrowheads="1"/>
        </xdr:cNvSpPr>
      </xdr:nvSpPr>
      <xdr:spPr bwMode="auto">
        <a:xfrm>
          <a:off x="60769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16384</xdr:col>
      <xdr:colOff>304800</xdr:colOff>
      <xdr:row>21</xdr:row>
      <xdr:rowOff>95250</xdr:rowOff>
    </xdr:to>
    <xdr:sp macro="" textlink="">
      <xdr:nvSpPr>
        <xdr:cNvPr id="5" name="AutoShape 8" descr="Ilustração de leão laranja e marrom, girafa leão Cartoon infantil, leão dos  desenhos animados, Personagem de desenho animado, mamífero, animais png |  PNGWing">
          <a:extLst>
            <a:ext uri="{FF2B5EF4-FFF2-40B4-BE49-F238E27FC236}">
              <a16:creationId xmlns:a16="http://schemas.microsoft.com/office/drawing/2014/main" id="{6F78CDEC-2A85-4F7A-B81C-1A350BBC78D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2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481012</xdr:colOff>
      <xdr:row>3</xdr:row>
      <xdr:rowOff>161924</xdr:rowOff>
    </xdr:from>
    <xdr:to>
      <xdr:col>0</xdr:col>
      <xdr:colOff>2871788</xdr:colOff>
      <xdr:row>14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951D11B-B688-4E26-856A-E924ACA62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" y="790574"/>
          <a:ext cx="2390776" cy="2390776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39700" h="139700" prst="divot"/>
        </a:sp3d>
      </xdr:spPr>
    </xdr:pic>
    <xdr:clientData/>
  </xdr:twoCellAnchor>
  <xdr:twoCellAnchor editAs="absolute">
    <xdr:from>
      <xdr:col>0</xdr:col>
      <xdr:colOff>481012</xdr:colOff>
      <xdr:row>0</xdr:row>
      <xdr:rowOff>114299</xdr:rowOff>
    </xdr:from>
    <xdr:to>
      <xdr:col>0</xdr:col>
      <xdr:colOff>2871788</xdr:colOff>
      <xdr:row>3</xdr:row>
      <xdr:rowOff>47624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6A0491D-3F33-4648-8AAA-6E7F21E65F2C}"/>
            </a:ext>
          </a:extLst>
        </xdr:cNvPr>
        <xdr:cNvSpPr/>
      </xdr:nvSpPr>
      <xdr:spPr>
        <a:xfrm>
          <a:off x="481012" y="114299"/>
          <a:ext cx="2390776" cy="561975"/>
        </a:xfrm>
        <a:prstGeom prst="rect">
          <a:avLst/>
        </a:prstGeom>
        <a:gradFill>
          <a:gsLst>
            <a:gs pos="79992">
              <a:srgbClr val="F64668"/>
            </a:gs>
            <a:gs pos="14000">
              <a:schemeClr val="accent1">
                <a:lumMod val="5000"/>
                <a:lumOff val="95000"/>
              </a:schemeClr>
            </a:gs>
            <a:gs pos="59000">
              <a:srgbClr val="984063"/>
            </a:gs>
            <a:gs pos="37000">
              <a:srgbClr val="41436A"/>
            </a:gs>
            <a:gs pos="100000">
              <a:srgbClr val="FE9677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  <a:sp3d>
            <a:bevelB w="50800" h="38100" prst="relaxedInset"/>
          </a:sp3d>
        </a:bodyPr>
        <a:lstStyle/>
        <a:p>
          <a:pPr algn="ctr"/>
          <a:r>
            <a:rPr lang="pt-BR" sz="1200" b="1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CONTROLE</a:t>
          </a:r>
          <a:r>
            <a:rPr lang="pt-BR" sz="1200" b="1" baseline="0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 DE INFORMES </a:t>
          </a:r>
          <a:endParaRPr lang="pt-BR" sz="1200" b="1">
            <a:solidFill>
              <a:schemeClr val="bg1"/>
            </a:solidFill>
            <a:latin typeface="Aharoni" panose="020F0502020204030204" pitchFamily="2" charset="-79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0</xdr:col>
      <xdr:colOff>481012</xdr:colOff>
      <xdr:row>16</xdr:row>
      <xdr:rowOff>0</xdr:rowOff>
    </xdr:from>
    <xdr:to>
      <xdr:col>0</xdr:col>
      <xdr:colOff>2871788</xdr:colOff>
      <xdr:row>18</xdr:row>
      <xdr:rowOff>152400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4B29CF-7C65-4568-8DFD-A97685F46029}"/>
            </a:ext>
          </a:extLst>
        </xdr:cNvPr>
        <xdr:cNvSpPr/>
      </xdr:nvSpPr>
      <xdr:spPr>
        <a:xfrm>
          <a:off x="481012" y="3448050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481012</xdr:colOff>
      <xdr:row>19</xdr:row>
      <xdr:rowOff>95250</xdr:rowOff>
    </xdr:from>
    <xdr:to>
      <xdr:col>0</xdr:col>
      <xdr:colOff>2871788</xdr:colOff>
      <xdr:row>22</xdr:row>
      <xdr:rowOff>38100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FFDC07-B1AA-4ECD-BEC7-4674099152D4}"/>
            </a:ext>
          </a:extLst>
        </xdr:cNvPr>
        <xdr:cNvSpPr/>
      </xdr:nvSpPr>
      <xdr:spPr>
        <a:xfrm>
          <a:off x="481012" y="4171950"/>
          <a:ext cx="2390776" cy="571500"/>
        </a:xfrm>
        <a:prstGeom prst="roundRect">
          <a:avLst>
            <a:gd name="adj" fmla="val 41667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481012</xdr:colOff>
      <xdr:row>23</xdr:row>
      <xdr:rowOff>104775</xdr:rowOff>
    </xdr:from>
    <xdr:to>
      <xdr:col>0</xdr:col>
      <xdr:colOff>2871788</xdr:colOff>
      <xdr:row>26</xdr:row>
      <xdr:rowOff>47625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14DAAB-D603-4373-92AB-33C5C3FA51E2}"/>
            </a:ext>
          </a:extLst>
        </xdr:cNvPr>
        <xdr:cNvSpPr/>
      </xdr:nvSpPr>
      <xdr:spPr>
        <a:xfrm>
          <a:off x="481012" y="5019675"/>
          <a:ext cx="2390776" cy="571500"/>
        </a:xfrm>
        <a:prstGeom prst="roundRect">
          <a:avLst>
            <a:gd name="adj" fmla="val 41667"/>
          </a:avLst>
        </a:prstGeom>
        <a:gradFill>
          <a:gsLst>
            <a:gs pos="28000">
              <a:schemeClr val="accent1">
                <a:lumMod val="5000"/>
                <a:lumOff val="95000"/>
              </a:schemeClr>
            </a:gs>
            <a:gs pos="53000">
              <a:srgbClr val="984063"/>
            </a:gs>
            <a:gs pos="85000">
              <a:srgbClr val="F64668"/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676275</xdr:colOff>
      <xdr:row>27</xdr:row>
      <xdr:rowOff>180975</xdr:rowOff>
    </xdr:from>
    <xdr:to>
      <xdr:col>0</xdr:col>
      <xdr:colOff>2505075</xdr:colOff>
      <xdr:row>29</xdr:row>
      <xdr:rowOff>142875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DD13196D-623D-4A5B-A372-899DC3E59DD5}"/>
            </a:ext>
          </a:extLst>
        </xdr:cNvPr>
        <xdr:cNvSpPr/>
      </xdr:nvSpPr>
      <xdr:spPr>
        <a:xfrm>
          <a:off x="676275" y="5934075"/>
          <a:ext cx="1828800" cy="381000"/>
        </a:xfrm>
        <a:prstGeom prst="roundRect">
          <a:avLst/>
        </a:prstGeom>
        <a:solidFill>
          <a:srgbClr val="4143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Segoe UI" panose="020B0502040204020203" pitchFamily="34" charset="0"/>
              <a:cs typeface="Segoe UI" panose="020B0502040204020203" pitchFamily="34" charset="0"/>
            </a:rPr>
            <a:t>DRE</a:t>
          </a:r>
          <a:r>
            <a:rPr lang="pt-BR" sz="1000" b="1" baseline="0">
              <a:latin typeface="Segoe UI" panose="020B0502040204020203" pitchFamily="34" charset="0"/>
              <a:cs typeface="Segoe UI" panose="020B0502040204020203" pitchFamily="34" charset="0"/>
            </a:rPr>
            <a:t> Sistemas </a:t>
          </a:r>
          <a:r>
            <a:rPr lang="pt-BR" sz="1100" baseline="0"/>
            <a:t>📝</a:t>
          </a:r>
          <a:endParaRPr lang="pt-BR" sz="1100"/>
        </a:p>
      </xdr:txBody>
    </xdr:sp>
    <xdr:clientData/>
  </xdr:twoCellAnchor>
  <xdr:twoCellAnchor editAs="absolute">
    <xdr:from>
      <xdr:col>0</xdr:col>
      <xdr:colOff>161925</xdr:colOff>
      <xdr:row>27</xdr:row>
      <xdr:rowOff>171450</xdr:rowOff>
    </xdr:from>
    <xdr:to>
      <xdr:col>0</xdr:col>
      <xdr:colOff>3033713</xdr:colOff>
      <xdr:row>27</xdr:row>
      <xdr:rowOff>171450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FB52FAA-5F3A-454B-A9CE-D2D0E5094681}"/>
            </a:ext>
          </a:extLst>
        </xdr:cNvPr>
        <xdr:cNvCxnSpPr/>
      </xdr:nvCxnSpPr>
      <xdr:spPr>
        <a:xfrm>
          <a:off x="161925" y="5924550"/>
          <a:ext cx="2871788" cy="0"/>
        </a:xfrm>
        <a:prstGeom prst="line">
          <a:avLst/>
        </a:prstGeom>
        <a:ln>
          <a:solidFill>
            <a:srgbClr val="FE967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2209800</xdr:colOff>
      <xdr:row>5</xdr:row>
      <xdr:rowOff>28575</xdr:rowOff>
    </xdr:from>
    <xdr:to>
      <xdr:col>5</xdr:col>
      <xdr:colOff>66676</xdr:colOff>
      <xdr:row>7</xdr:row>
      <xdr:rowOff>171450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DA59B6-8538-4DDA-9106-A3D10CA1E3EA}"/>
            </a:ext>
          </a:extLst>
        </xdr:cNvPr>
        <xdr:cNvSpPr/>
      </xdr:nvSpPr>
      <xdr:spPr>
        <a:xfrm>
          <a:off x="9153525" y="1133475"/>
          <a:ext cx="2886076" cy="561975"/>
        </a:xfrm>
        <a:prstGeom prst="roundRect">
          <a:avLst>
            <a:gd name="adj" fmla="val 48334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chemeClr val="bg1"/>
              </a:solidFill>
            </a:rPr>
            <a:t>⬅️ANTERIOR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046D5-7EE9-4A51-BB0F-3075E074BA1A}" name="Tabela1" displayName="Tabela1" ref="C14:E32" totalsRowShown="0" headerRowDxfId="1" dataDxfId="6">
  <autoFilter ref="C14:E32" xr:uid="{BA9046D5-7EE9-4A51-BB0F-3075E074BA1A}"/>
  <tableColumns count="3">
    <tableColumn id="1" xr3:uid="{FCCA3541-FF45-440B-8D2B-0652C09A93E9}" name="DATA" dataDxfId="9"/>
    <tableColumn id="2" xr3:uid="{439D532B-A15A-4D1C-B928-2C52D11A38D6}" name="CATEGORIA" dataDxfId="8"/>
    <tableColumn id="3" xr3:uid="{29C45F61-0499-4D40-8A32-3458E8BB10C6}" name="VALOR" dataDxfId="7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AA316-EC75-4EBE-99A1-738F318E7867}" name="Tabela13" displayName="Tabela13" ref="C37:E54" totalsRowShown="0" headerRowDxfId="0" dataDxfId="2">
  <autoFilter ref="C37:E54" xr:uid="{77EAA316-EC75-4EBE-99A1-738F318E7867}"/>
  <tableColumns count="3">
    <tableColumn id="1" xr3:uid="{705D846D-1169-4164-8D34-BEC6FB3F5790}" name="FORNECEDOR" dataDxfId="5"/>
    <tableColumn id="2" xr3:uid="{36C68283-6BC6-4585-B152-8908AABE6F96}" name="CATEGORIA" dataDxfId="4"/>
    <tableColumn id="3" xr3:uid="{19D1C621-8845-4579-8453-A64379021C7B}" name="VALOR" dataDxfId="3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AL.ROCHA@BBB.COM?subject=Ol&#225;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E6CD-A46E-4C0C-A28E-9A5CEF31E191}">
  <dimension ref="A1:E32"/>
  <sheetViews>
    <sheetView showGridLines="0" showRowColHeaders="0" workbookViewId="0">
      <selection activeCell="D10" sqref="D10"/>
    </sheetView>
  </sheetViews>
  <sheetFormatPr defaultColWidth="0" defaultRowHeight="15" zeroHeight="1"/>
  <cols>
    <col min="1" max="1" width="48.7109375" style="1" customWidth="1"/>
    <col min="2" max="2" width="9.7109375" customWidth="1"/>
    <col min="3" max="3" width="45.7109375" customWidth="1"/>
    <col min="4" max="4" width="50.7109375" customWidth="1"/>
    <col min="5" max="5" width="9.140625" customWidth="1"/>
    <col min="6" max="16384" width="9.140625" hidden="1"/>
  </cols>
  <sheetData>
    <row r="1" spans="2:5">
      <c r="B1" s="16"/>
      <c r="C1" s="16"/>
      <c r="D1" s="16"/>
      <c r="E1" s="16"/>
    </row>
    <row r="2" spans="2:5">
      <c r="B2" s="16"/>
      <c r="C2" s="16"/>
      <c r="D2" s="16"/>
      <c r="E2" s="16"/>
    </row>
    <row r="3" spans="2:5">
      <c r="B3" s="16"/>
      <c r="C3" s="16"/>
      <c r="D3" s="16"/>
      <c r="E3" s="16"/>
    </row>
    <row r="4" spans="2:5" ht="20.25" thickBot="1">
      <c r="B4" s="16"/>
      <c r="C4" s="17" t="s">
        <v>14</v>
      </c>
      <c r="D4" s="18"/>
      <c r="E4" s="18"/>
    </row>
    <row r="5" spans="2:5" ht="17.25" customHeight="1" thickTop="1">
      <c r="B5" s="16"/>
      <c r="C5" s="6" t="s">
        <v>100</v>
      </c>
      <c r="D5" s="7"/>
      <c r="E5" s="7"/>
    </row>
    <row r="6" spans="2:5" ht="15.95" customHeight="1">
      <c r="B6" s="16"/>
      <c r="C6" s="19"/>
      <c r="D6" s="19"/>
      <c r="E6" s="19"/>
    </row>
    <row r="7" spans="2:5" ht="16.5">
      <c r="B7" s="16"/>
      <c r="C7" s="20" t="s">
        <v>0</v>
      </c>
      <c r="D7" s="8" t="s">
        <v>17</v>
      </c>
      <c r="E7" s="19"/>
    </row>
    <row r="8" spans="2:5" ht="16.5">
      <c r="B8" s="16"/>
      <c r="C8" s="20" t="s">
        <v>1</v>
      </c>
      <c r="D8" s="9">
        <v>32047502890</v>
      </c>
      <c r="E8" s="19"/>
    </row>
    <row r="9" spans="2:5" ht="16.5">
      <c r="B9" s="16"/>
      <c r="C9" s="20" t="s">
        <v>2</v>
      </c>
      <c r="D9" s="10">
        <v>34981</v>
      </c>
      <c r="E9" s="19"/>
    </row>
    <row r="10" spans="2:5" ht="16.5">
      <c r="B10" s="16"/>
      <c r="C10" s="20" t="s">
        <v>3</v>
      </c>
      <c r="D10" s="8">
        <v>31713388</v>
      </c>
      <c r="E10" s="19"/>
    </row>
    <row r="11" spans="2:5" ht="16.5">
      <c r="B11" s="16"/>
      <c r="C11" s="20" t="s">
        <v>4</v>
      </c>
      <c r="D11" s="8" t="s">
        <v>19</v>
      </c>
      <c r="E11" s="19"/>
    </row>
    <row r="12" spans="2:5" ht="16.5">
      <c r="B12" s="16"/>
      <c r="C12" s="20" t="s">
        <v>5</v>
      </c>
      <c r="D12" s="8" t="s">
        <v>20</v>
      </c>
      <c r="E12" s="19"/>
    </row>
    <row r="13" spans="2:5" ht="16.5">
      <c r="B13" s="16"/>
      <c r="C13" s="20" t="s">
        <v>6</v>
      </c>
      <c r="D13" s="8" t="s">
        <v>21</v>
      </c>
      <c r="E13" s="19"/>
    </row>
    <row r="14" spans="2:5" ht="16.5">
      <c r="B14" s="16"/>
      <c r="C14" s="20" t="s">
        <v>7</v>
      </c>
      <c r="D14" s="11">
        <v>2090110</v>
      </c>
      <c r="E14" s="19"/>
    </row>
    <row r="15" spans="2:5" ht="16.5">
      <c r="B15" s="16"/>
      <c r="C15" s="20" t="s">
        <v>8</v>
      </c>
      <c r="D15" s="12">
        <v>1149991020</v>
      </c>
      <c r="E15" s="19"/>
    </row>
    <row r="16" spans="2:5" ht="16.5">
      <c r="B16" s="16"/>
      <c r="C16" s="20" t="s">
        <v>9</v>
      </c>
      <c r="D16" s="13">
        <v>11995550120</v>
      </c>
      <c r="E16" s="19"/>
    </row>
    <row r="17" spans="2:5" ht="16.5">
      <c r="B17" s="16"/>
      <c r="C17" s="20" t="s">
        <v>10</v>
      </c>
      <c r="D17" s="14" t="s">
        <v>18</v>
      </c>
      <c r="E17" s="19"/>
    </row>
    <row r="18" spans="2:5" ht="16.5">
      <c r="B18" s="16"/>
      <c r="C18" s="20" t="s">
        <v>11</v>
      </c>
      <c r="D18" s="8" t="s">
        <v>16</v>
      </c>
      <c r="E18" s="19"/>
    </row>
    <row r="19" spans="2:5" ht="16.5">
      <c r="B19" s="16"/>
      <c r="C19" s="20" t="s">
        <v>12</v>
      </c>
      <c r="D19" s="8" t="s">
        <v>15</v>
      </c>
      <c r="E19" s="19"/>
    </row>
    <row r="20" spans="2:5" ht="16.5">
      <c r="B20" s="16"/>
      <c r="C20" s="20" t="s">
        <v>13</v>
      </c>
      <c r="D20" s="8" t="s">
        <v>16</v>
      </c>
      <c r="E20" s="19"/>
    </row>
    <row r="21" spans="2:5">
      <c r="B21" s="16"/>
      <c r="C21" s="16"/>
      <c r="D21" s="16"/>
      <c r="E21" s="16"/>
    </row>
    <row r="22" spans="2:5">
      <c r="B22" s="16"/>
      <c r="C22" s="16"/>
      <c r="D22" s="16"/>
      <c r="E22" s="16"/>
    </row>
    <row r="23" spans="2:5">
      <c r="B23" s="16"/>
      <c r="C23" s="16"/>
      <c r="D23" s="16"/>
      <c r="E23" s="16"/>
    </row>
    <row r="24" spans="2:5">
      <c r="B24" s="16"/>
      <c r="C24" s="16"/>
      <c r="D24" s="16"/>
      <c r="E24" s="16"/>
    </row>
    <row r="25" spans="2:5">
      <c r="B25" s="16"/>
      <c r="C25" s="16"/>
      <c r="D25" s="16"/>
      <c r="E25" s="16"/>
    </row>
    <row r="26" spans="2:5">
      <c r="B26" s="16"/>
      <c r="C26" s="16"/>
      <c r="D26" s="16"/>
      <c r="E26" s="16"/>
    </row>
    <row r="27" spans="2:5">
      <c r="B27" s="16"/>
      <c r="C27" s="16"/>
      <c r="D27" s="16"/>
      <c r="E27" s="16"/>
    </row>
    <row r="28" spans="2:5">
      <c r="B28" s="16"/>
      <c r="C28" s="16"/>
      <c r="D28" s="16"/>
      <c r="E28" s="16"/>
    </row>
    <row r="29" spans="2:5">
      <c r="B29" s="16"/>
      <c r="C29" s="16"/>
      <c r="D29" s="16"/>
      <c r="E29" s="16"/>
    </row>
    <row r="30" spans="2:5">
      <c r="B30" s="16"/>
      <c r="C30" s="16"/>
      <c r="D30" s="16"/>
      <c r="E30" s="16"/>
    </row>
    <row r="31" spans="2:5">
      <c r="B31" s="16"/>
      <c r="C31" s="16"/>
      <c r="D31" s="16"/>
      <c r="E31" s="16"/>
    </row>
    <row r="32" spans="2:5">
      <c r="B32" s="16"/>
      <c r="C32" s="16"/>
      <c r="D32" s="16"/>
      <c r="E32" s="16"/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8:D20" xr:uid="{D7566E33-85BA-401F-B4E6-E277B201D32A}">
      <formula1>"SIM,NÂO"</formula1>
    </dataValidation>
  </dataValidations>
  <hyperlinks>
    <hyperlink ref="D17" r:id="rId1" xr:uid="{57B50B58-3D2B-42DE-A7D6-D8A3D65B98E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2AE0-5BFD-4479-8DB2-4AC001462A51}">
  <dimension ref="A1:L41"/>
  <sheetViews>
    <sheetView showGridLines="0" showRowColHeaders="0" tabSelected="1" zoomScaleNormal="100" workbookViewId="0">
      <selection activeCell="D15" sqref="D15"/>
    </sheetView>
  </sheetViews>
  <sheetFormatPr defaultColWidth="0" defaultRowHeight="15" zeroHeight="1"/>
  <cols>
    <col min="1" max="1" width="48.7109375" style="1" customWidth="1"/>
    <col min="2" max="2" width="9.7109375" style="21" customWidth="1"/>
    <col min="3" max="4" width="50.7109375" style="21" customWidth="1"/>
    <col min="5" max="9" width="9.140625" style="21" customWidth="1"/>
    <col min="10" max="10" width="11.7109375" style="21" bestFit="1" customWidth="1"/>
    <col min="11" max="12" width="9.140625" style="21" customWidth="1"/>
    <col min="13" max="16384" width="9.140625" hidden="1"/>
  </cols>
  <sheetData>
    <row r="1" spans="3:10"/>
    <row r="2" spans="3:10"/>
    <row r="3" spans="3:10"/>
    <row r="4" spans="3:10" ht="20.25" thickBot="1">
      <c r="C4" s="22" t="s">
        <v>89</v>
      </c>
      <c r="D4" s="23"/>
      <c r="E4" s="23"/>
    </row>
    <row r="5" spans="3:10" ht="15.75" thickTop="1">
      <c r="C5" s="6" t="s">
        <v>22</v>
      </c>
      <c r="D5" s="7"/>
      <c r="E5" s="7"/>
    </row>
    <row r="6" spans="3:10" ht="15.95" customHeight="1">
      <c r="C6" s="24"/>
      <c r="D6" s="24"/>
      <c r="E6" s="24"/>
    </row>
    <row r="7" spans="3:10" ht="15.95" customHeight="1">
      <c r="C7" s="24"/>
      <c r="D7" s="24"/>
      <c r="E7" s="24"/>
    </row>
    <row r="8" spans="3:10" ht="15.95" customHeight="1">
      <c r="C8" s="4" t="s">
        <v>81</v>
      </c>
      <c r="D8" s="5">
        <f>SUM(D12,D16,D20,D24,D29,D34)</f>
        <v>67000</v>
      </c>
      <c r="E8" s="24"/>
    </row>
    <row r="9" spans="3:10" ht="15.95" customHeight="1">
      <c r="C9" s="24"/>
      <c r="D9" s="24"/>
      <c r="E9" s="24"/>
    </row>
    <row r="10" spans="3:10" ht="15.95" customHeight="1">
      <c r="C10" s="24"/>
      <c r="D10" s="24"/>
      <c r="E10" s="24"/>
    </row>
    <row r="11" spans="3:10" ht="16.5">
      <c r="C11" s="25" t="s">
        <v>23</v>
      </c>
      <c r="D11" s="26" t="s">
        <v>43</v>
      </c>
      <c r="E11" s="24"/>
      <c r="G11" s="27" t="str">
        <f>D11</f>
        <v>3 - Banco da Amazônia</v>
      </c>
      <c r="H11" s="27"/>
      <c r="I11" s="27"/>
      <c r="J11" s="28">
        <f>D12</f>
        <v>50000</v>
      </c>
    </row>
    <row r="12" spans="3:10" ht="16.5">
      <c r="C12" s="25" t="s">
        <v>24</v>
      </c>
      <c r="D12" s="29">
        <v>50000</v>
      </c>
      <c r="E12" s="24"/>
      <c r="G12" s="27" t="str">
        <f>D15</f>
        <v>184 - Banco Itaú BBA S.A.</v>
      </c>
      <c r="H12" s="27"/>
      <c r="I12" s="27"/>
      <c r="J12" s="28">
        <f>D16</f>
        <v>10000</v>
      </c>
    </row>
    <row r="13" spans="3:10" ht="16.5">
      <c r="C13" s="25" t="s">
        <v>25</v>
      </c>
      <c r="D13" s="30" t="s">
        <v>77</v>
      </c>
      <c r="E13" s="24"/>
      <c r="G13" s="27" t="str">
        <f>D19</f>
        <v>1 - Banco do Brasil</v>
      </c>
      <c r="H13" s="27"/>
      <c r="I13" s="27"/>
      <c r="J13" s="28">
        <f>D20</f>
        <v>2500</v>
      </c>
    </row>
    <row r="14" spans="3:10" ht="16.5">
      <c r="C14" s="25"/>
      <c r="D14" s="26"/>
      <c r="E14" s="24"/>
      <c r="G14" s="27" t="str">
        <f>D23</f>
        <v>218 - Banco Bonsucesso</v>
      </c>
      <c r="H14" s="27"/>
      <c r="I14" s="27"/>
      <c r="J14" s="28">
        <f>D24</f>
        <v>4500</v>
      </c>
    </row>
    <row r="15" spans="3:10" ht="16.5">
      <c r="C15" s="25" t="s">
        <v>23</v>
      </c>
      <c r="D15" s="26" t="s">
        <v>30</v>
      </c>
      <c r="E15" s="24"/>
      <c r="G15" s="27">
        <f>D28</f>
        <v>0</v>
      </c>
      <c r="H15" s="27"/>
      <c r="I15" s="27"/>
      <c r="J15" s="28">
        <f>D29</f>
        <v>0</v>
      </c>
    </row>
    <row r="16" spans="3:10" ht="16.5">
      <c r="C16" s="25" t="s">
        <v>24</v>
      </c>
      <c r="D16" s="29">
        <v>10000</v>
      </c>
      <c r="E16" s="24"/>
      <c r="G16" s="27">
        <f>D33</f>
        <v>0</v>
      </c>
      <c r="H16" s="27"/>
      <c r="I16" s="27"/>
      <c r="J16" s="28">
        <f>D34</f>
        <v>0</v>
      </c>
    </row>
    <row r="17" spans="3:5" ht="16.5">
      <c r="C17" s="25" t="s">
        <v>25</v>
      </c>
      <c r="D17" s="30" t="s">
        <v>78</v>
      </c>
      <c r="E17" s="24"/>
    </row>
    <row r="18" spans="3:5" ht="16.5">
      <c r="C18" s="25"/>
      <c r="D18" s="26"/>
      <c r="E18" s="24"/>
    </row>
    <row r="19" spans="3:5" ht="16.5">
      <c r="C19" s="25" t="s">
        <v>23</v>
      </c>
      <c r="D19" s="26" t="s">
        <v>26</v>
      </c>
      <c r="E19" s="24"/>
    </row>
    <row r="20" spans="3:5" ht="16.5">
      <c r="C20" s="25" t="s">
        <v>24</v>
      </c>
      <c r="D20" s="29">
        <v>2500</v>
      </c>
      <c r="E20" s="24"/>
    </row>
    <row r="21" spans="3:5" ht="16.5">
      <c r="C21" s="25" t="s">
        <v>25</v>
      </c>
      <c r="D21" s="30" t="s">
        <v>79</v>
      </c>
      <c r="E21" s="24"/>
    </row>
    <row r="22" spans="3:5" ht="16.5">
      <c r="C22" s="25"/>
      <c r="D22" s="26"/>
      <c r="E22" s="24"/>
    </row>
    <row r="23" spans="3:5" ht="16.5">
      <c r="C23" s="25" t="s">
        <v>23</v>
      </c>
      <c r="D23" s="26" t="s">
        <v>34</v>
      </c>
      <c r="E23" s="24"/>
    </row>
    <row r="24" spans="3:5" ht="16.5">
      <c r="C24" s="25" t="s">
        <v>24</v>
      </c>
      <c r="D24" s="29">
        <v>4500</v>
      </c>
      <c r="E24" s="24"/>
    </row>
    <row r="25" spans="3:5" ht="16.5">
      <c r="C25" s="25" t="s">
        <v>25</v>
      </c>
      <c r="D25" s="30" t="s">
        <v>80</v>
      </c>
    </row>
    <row r="26" spans="3:5" ht="16.5">
      <c r="C26" s="25"/>
      <c r="D26" s="26"/>
    </row>
    <row r="27" spans="3:5" ht="16.5">
      <c r="C27" s="24"/>
      <c r="D27" s="31"/>
    </row>
    <row r="28" spans="3:5" ht="16.5">
      <c r="C28" s="25" t="s">
        <v>23</v>
      </c>
      <c r="D28" s="26"/>
    </row>
    <row r="29" spans="3:5" ht="16.5">
      <c r="C29" s="25" t="s">
        <v>24</v>
      </c>
      <c r="D29" s="29"/>
    </row>
    <row r="30" spans="3:5" ht="16.5">
      <c r="C30" s="25" t="s">
        <v>25</v>
      </c>
      <c r="D30" s="30"/>
    </row>
    <row r="31" spans="3:5" ht="16.5">
      <c r="C31" s="25"/>
      <c r="D31" s="26"/>
    </row>
    <row r="32" spans="3:5" ht="16.5">
      <c r="C32" s="24"/>
      <c r="D32" s="31"/>
    </row>
    <row r="33" spans="3:4" ht="16.5">
      <c r="C33" s="25" t="s">
        <v>23</v>
      </c>
      <c r="D33" s="26"/>
    </row>
    <row r="34" spans="3:4" ht="16.5">
      <c r="C34" s="25" t="s">
        <v>24</v>
      </c>
      <c r="D34" s="29"/>
    </row>
    <row r="35" spans="3:4" ht="16.5">
      <c r="C35" s="25" t="s">
        <v>25</v>
      </c>
      <c r="D35" s="30"/>
    </row>
    <row r="36" spans="3:4" ht="16.5">
      <c r="C36" s="25"/>
      <c r="D36" s="26"/>
    </row>
    <row r="37" spans="3:4"/>
    <row r="38" spans="3:4" ht="16.5">
      <c r="C38" s="32"/>
      <c r="D38" s="33"/>
    </row>
    <row r="39" spans="3:4" ht="16.5">
      <c r="C39" s="32"/>
      <c r="D39" s="34"/>
    </row>
    <row r="40" spans="3:4" ht="16.5">
      <c r="C40" s="32"/>
      <c r="D40" s="35"/>
    </row>
    <row r="41" spans="3:4" ht="16.5" hidden="1">
      <c r="C41" s="32"/>
      <c r="D41" s="33"/>
    </row>
  </sheetData>
  <sheetProtection sheet="1" objects="1" scenarios="1" selectLockedCells="1"/>
  <mergeCells count="1"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6C2822-B0FA-441F-A7E0-A28B20E2C0AB}">
          <x14:formula1>
            <xm:f>'Tabela de bancos '!$A$2:$A$52</xm:f>
          </x14:formula1>
          <xm:sqref>D38 D33 D28</xm:sqref>
        </x14:dataValidation>
        <x14:dataValidation type="list" allowBlank="1" showInputMessage="1" showErrorMessage="1" errorTitle="Banco não encontrado " error="Informe um Banco da lista" promptTitle="Informe um Banco Ativo" prompt="Informe um Banco que possua Saldo em 31/12" xr:uid="{8E491210-34A7-4C27-9838-9F2BB460DABA}">
          <x14:formula1>
            <xm:f>'Tabela de bancos '!$A$2:$A$52</xm:f>
          </x14:formula1>
          <xm:sqref>D11 D15 D19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94C8-DE9C-4C5A-9CF2-C35F75691547}">
  <dimension ref="A1:O103"/>
  <sheetViews>
    <sheetView showGridLines="0" showRowColHeaders="0" workbookViewId="0">
      <selection activeCell="C26" sqref="C26"/>
    </sheetView>
  </sheetViews>
  <sheetFormatPr defaultColWidth="0" defaultRowHeight="16.5" zeroHeight="1"/>
  <cols>
    <col min="1" max="1" width="48.7109375" style="1" customWidth="1"/>
    <col min="2" max="2" width="9.7109375" style="21" customWidth="1"/>
    <col min="3" max="3" width="45.7109375" style="24" customWidth="1"/>
    <col min="4" max="4" width="50.7109375" style="24" customWidth="1"/>
    <col min="5" max="5" width="24.7109375" style="24" customWidth="1"/>
    <col min="6" max="6" width="9.140625" style="24" customWidth="1"/>
    <col min="7" max="15" width="0" style="2" hidden="1"/>
    <col min="16" max="16384" width="9.140625" hidden="1"/>
  </cols>
  <sheetData>
    <row r="1" spans="3:5"/>
    <row r="2" spans="3:5"/>
    <row r="3" spans="3:5"/>
    <row r="4" spans="3:5" ht="20.25" thickBot="1">
      <c r="C4" s="22" t="s">
        <v>90</v>
      </c>
      <c r="D4" s="23"/>
      <c r="E4" s="23"/>
    </row>
    <row r="5" spans="3:5" ht="17.25" thickTop="1">
      <c r="C5" s="6" t="s">
        <v>93</v>
      </c>
      <c r="D5" s="7"/>
      <c r="E5" s="7"/>
    </row>
    <row r="6" spans="3:5">
      <c r="C6" s="36"/>
      <c r="D6" s="37"/>
      <c r="E6" s="37"/>
    </row>
    <row r="7" spans="3:5">
      <c r="C7" s="36"/>
      <c r="D7" s="37"/>
      <c r="E7" s="37"/>
    </row>
    <row r="8" spans="3:5"/>
    <row r="9" spans="3:5">
      <c r="C9" s="47" t="s">
        <v>92</v>
      </c>
      <c r="D9" s="48">
        <f>SUM(Tabela1[VALOR])</f>
        <v>10500</v>
      </c>
    </row>
    <row r="10" spans="3:5">
      <c r="C10" s="47" t="s">
        <v>99</v>
      </c>
      <c r="D10" s="48">
        <f>SUM(Tabela13[VALOR])</f>
        <v>3300</v>
      </c>
    </row>
    <row r="11" spans="3:5" ht="17.25" thickBot="1"/>
    <row r="12" spans="3:5" ht="18" thickTop="1" thickBot="1">
      <c r="C12" s="6" t="s">
        <v>82</v>
      </c>
      <c r="D12" s="7"/>
      <c r="E12" s="15" t="s">
        <v>94</v>
      </c>
    </row>
    <row r="13" spans="3:5" ht="17.25" thickTop="1"/>
    <row r="14" spans="3:5">
      <c r="C14" s="46" t="s">
        <v>83</v>
      </c>
      <c r="D14" s="46" t="s">
        <v>84</v>
      </c>
      <c r="E14" s="46" t="s">
        <v>85</v>
      </c>
    </row>
    <row r="15" spans="3:5">
      <c r="C15" s="38">
        <v>46032</v>
      </c>
      <c r="D15" s="39" t="s">
        <v>86</v>
      </c>
      <c r="E15" s="40">
        <v>500</v>
      </c>
    </row>
    <row r="16" spans="3:5">
      <c r="C16" s="38">
        <v>46053</v>
      </c>
      <c r="D16" s="39" t="s">
        <v>87</v>
      </c>
      <c r="E16" s="40">
        <v>10000</v>
      </c>
    </row>
    <row r="17" spans="3:5">
      <c r="C17" s="38"/>
      <c r="D17" s="39"/>
      <c r="E17" s="40"/>
    </row>
    <row r="18" spans="3:5">
      <c r="C18" s="38"/>
      <c r="D18" s="39"/>
      <c r="E18" s="40"/>
    </row>
    <row r="19" spans="3:5">
      <c r="C19" s="38"/>
      <c r="D19" s="39"/>
      <c r="E19" s="40"/>
    </row>
    <row r="20" spans="3:5">
      <c r="C20" s="38"/>
      <c r="D20" s="39"/>
      <c r="E20" s="40"/>
    </row>
    <row r="21" spans="3:5">
      <c r="C21" s="38"/>
      <c r="D21" s="39"/>
      <c r="E21" s="40"/>
    </row>
    <row r="22" spans="3:5">
      <c r="C22" s="38"/>
      <c r="D22" s="39"/>
      <c r="E22" s="40"/>
    </row>
    <row r="23" spans="3:5">
      <c r="C23" s="38"/>
      <c r="D23" s="39"/>
      <c r="E23" s="40"/>
    </row>
    <row r="24" spans="3:5">
      <c r="C24" s="38"/>
      <c r="D24" s="39"/>
      <c r="E24" s="40"/>
    </row>
    <row r="25" spans="3:5">
      <c r="C25" s="38"/>
      <c r="D25" s="39"/>
      <c r="E25" s="40"/>
    </row>
    <row r="26" spans="3:5">
      <c r="C26" s="38"/>
      <c r="D26" s="39"/>
      <c r="E26" s="40"/>
    </row>
    <row r="27" spans="3:5">
      <c r="C27" s="38"/>
      <c r="D27" s="39"/>
      <c r="E27" s="40"/>
    </row>
    <row r="28" spans="3:5">
      <c r="C28" s="38"/>
      <c r="D28" s="39"/>
      <c r="E28" s="40"/>
    </row>
    <row r="29" spans="3:5">
      <c r="C29" s="38"/>
      <c r="D29" s="39"/>
      <c r="E29" s="40"/>
    </row>
    <row r="30" spans="3:5">
      <c r="C30" s="38"/>
      <c r="D30" s="39"/>
      <c r="E30" s="40"/>
    </row>
    <row r="31" spans="3:5">
      <c r="C31" s="38"/>
      <c r="D31" s="39"/>
      <c r="E31" s="40"/>
    </row>
    <row r="32" spans="3:5">
      <c r="C32" s="38"/>
      <c r="D32" s="39"/>
      <c r="E32" s="40"/>
    </row>
    <row r="33" spans="3:5"/>
    <row r="34" spans="3:5" ht="17.25" thickBot="1"/>
    <row r="35" spans="3:5" ht="18" thickTop="1" thickBot="1">
      <c r="C35" s="6" t="s">
        <v>88</v>
      </c>
      <c r="D35" s="7"/>
      <c r="E35" s="15" t="s">
        <v>94</v>
      </c>
    </row>
    <row r="36" spans="3:5" ht="17.25" thickTop="1"/>
    <row r="37" spans="3:5">
      <c r="C37" s="45" t="s">
        <v>96</v>
      </c>
      <c r="D37" s="45" t="s">
        <v>84</v>
      </c>
      <c r="E37" s="45" t="s">
        <v>85</v>
      </c>
    </row>
    <row r="38" spans="3:5">
      <c r="C38" s="41" t="s">
        <v>97</v>
      </c>
      <c r="D38" s="42" t="s">
        <v>91</v>
      </c>
      <c r="E38" s="43">
        <v>1300</v>
      </c>
    </row>
    <row r="39" spans="3:5">
      <c r="C39" s="41" t="s">
        <v>98</v>
      </c>
      <c r="D39" s="42" t="s">
        <v>95</v>
      </c>
      <c r="E39" s="43">
        <v>2000</v>
      </c>
    </row>
    <row r="40" spans="3:5">
      <c r="C40" s="41"/>
      <c r="D40" s="42"/>
      <c r="E40" s="43"/>
    </row>
    <row r="41" spans="3:5">
      <c r="C41" s="41"/>
      <c r="D41" s="42"/>
      <c r="E41" s="43"/>
    </row>
    <row r="42" spans="3:5">
      <c r="C42" s="41"/>
      <c r="D42" s="42"/>
      <c r="E42" s="43"/>
    </row>
    <row r="43" spans="3:5">
      <c r="C43" s="41"/>
      <c r="D43" s="42"/>
      <c r="E43" s="43"/>
    </row>
    <row r="44" spans="3:5">
      <c r="C44" s="41"/>
      <c r="D44" s="42"/>
      <c r="E44" s="43"/>
    </row>
    <row r="45" spans="3:5">
      <c r="C45" s="41"/>
      <c r="D45" s="42"/>
      <c r="E45" s="43"/>
    </row>
    <row r="46" spans="3:5">
      <c r="C46" s="41"/>
      <c r="D46" s="42"/>
      <c r="E46" s="43"/>
    </row>
    <row r="47" spans="3:5">
      <c r="C47" s="41"/>
      <c r="D47" s="42"/>
      <c r="E47" s="43"/>
    </row>
    <row r="48" spans="3:5">
      <c r="C48" s="41"/>
      <c r="D48" s="42"/>
      <c r="E48" s="43"/>
    </row>
    <row r="49" spans="3:5">
      <c r="C49" s="41"/>
      <c r="D49" s="42"/>
      <c r="E49" s="43"/>
    </row>
    <row r="50" spans="3:5">
      <c r="C50" s="41"/>
      <c r="D50" s="42"/>
      <c r="E50" s="43"/>
    </row>
    <row r="51" spans="3:5">
      <c r="C51" s="41"/>
      <c r="D51" s="42"/>
      <c r="E51" s="43"/>
    </row>
    <row r="52" spans="3:5">
      <c r="C52" s="41"/>
      <c r="D52" s="42"/>
      <c r="E52" s="43"/>
    </row>
    <row r="53" spans="3:5">
      <c r="C53" s="41"/>
      <c r="D53" s="42"/>
      <c r="E53" s="43"/>
    </row>
    <row r="54" spans="3:5">
      <c r="C54" s="41"/>
      <c r="D54" s="42"/>
      <c r="E54" s="43"/>
    </row>
    <row r="55" spans="3:5">
      <c r="C55" s="44"/>
      <c r="D55" s="44"/>
      <c r="E55" s="44"/>
    </row>
    <row r="56" spans="3:5" hidden="1">
      <c r="C56" s="44"/>
      <c r="D56" s="44"/>
      <c r="E56" s="44"/>
    </row>
    <row r="57" spans="3:5" hidden="1">
      <c r="C57" s="44"/>
      <c r="D57" s="44"/>
      <c r="E57" s="44"/>
    </row>
    <row r="58" spans="3:5" hidden="1">
      <c r="C58" s="44"/>
      <c r="D58" s="44"/>
      <c r="E58" s="44"/>
    </row>
    <row r="59" spans="3:5" hidden="1">
      <c r="C59" s="44"/>
      <c r="D59" s="44"/>
      <c r="E59" s="44"/>
    </row>
    <row r="60" spans="3:5" hidden="1">
      <c r="C60" s="44"/>
      <c r="D60" s="44"/>
      <c r="E60" s="44"/>
    </row>
    <row r="61" spans="3:5" hidden="1">
      <c r="C61" s="44"/>
      <c r="D61" s="44"/>
      <c r="E61" s="44"/>
    </row>
    <row r="62" spans="3:5" hidden="1">
      <c r="C62" s="44"/>
      <c r="D62" s="44"/>
      <c r="E62" s="44"/>
    </row>
    <row r="63" spans="3:5" hidden="1">
      <c r="C63" s="44"/>
      <c r="D63" s="44"/>
      <c r="E63" s="44"/>
    </row>
    <row r="64" spans="3:5" hidden="1">
      <c r="C64" s="44"/>
      <c r="D64" s="44"/>
      <c r="E64" s="44"/>
    </row>
    <row r="65" spans="3:5" hidden="1">
      <c r="C65" s="44"/>
      <c r="D65" s="44"/>
      <c r="E65" s="44"/>
    </row>
    <row r="66" spans="3:5" hidden="1">
      <c r="C66" s="44"/>
      <c r="D66" s="44"/>
      <c r="E66" s="44"/>
    </row>
    <row r="67" spans="3:5" hidden="1">
      <c r="C67" s="44"/>
      <c r="D67" s="44"/>
      <c r="E67" s="44"/>
    </row>
    <row r="68" spans="3:5" hidden="1">
      <c r="C68" s="44"/>
      <c r="D68" s="44"/>
      <c r="E68" s="44"/>
    </row>
    <row r="69" spans="3:5" hidden="1">
      <c r="C69" s="44"/>
      <c r="D69" s="44"/>
      <c r="E69" s="44"/>
    </row>
    <row r="70" spans="3:5" hidden="1">
      <c r="C70" s="44"/>
      <c r="D70" s="44"/>
      <c r="E70" s="44"/>
    </row>
    <row r="71" spans="3:5" hidden="1">
      <c r="C71" s="44"/>
      <c r="D71" s="44"/>
      <c r="E71" s="44"/>
    </row>
    <row r="72" spans="3:5" hidden="1">
      <c r="C72" s="44"/>
      <c r="D72" s="44"/>
      <c r="E72" s="44"/>
    </row>
    <row r="73" spans="3:5" hidden="1">
      <c r="C73" s="44"/>
      <c r="D73" s="44"/>
      <c r="E73" s="44"/>
    </row>
    <row r="74" spans="3:5" hidden="1">
      <c r="C74" s="44"/>
      <c r="D74" s="44"/>
      <c r="E74" s="44"/>
    </row>
    <row r="75" spans="3:5" hidden="1">
      <c r="C75" s="44"/>
      <c r="D75" s="44"/>
      <c r="E75" s="44"/>
    </row>
    <row r="76" spans="3:5" hidden="1">
      <c r="C76" s="44"/>
      <c r="D76" s="44"/>
      <c r="E76" s="44"/>
    </row>
    <row r="77" spans="3:5" hidden="1">
      <c r="C77" s="44"/>
      <c r="D77" s="44"/>
      <c r="E77" s="44"/>
    </row>
    <row r="78" spans="3:5" hidden="1">
      <c r="C78" s="44"/>
      <c r="D78" s="44"/>
      <c r="E78" s="44"/>
    </row>
    <row r="79" spans="3:5" hidden="1">
      <c r="C79" s="44"/>
      <c r="D79" s="44"/>
      <c r="E79" s="44"/>
    </row>
    <row r="80" spans="3:5" hidden="1">
      <c r="C80" s="44"/>
      <c r="D80" s="44"/>
      <c r="E80" s="44"/>
    </row>
    <row r="81" spans="3:5" hidden="1">
      <c r="C81" s="44"/>
      <c r="D81" s="44"/>
      <c r="E81" s="44"/>
    </row>
    <row r="82" spans="3:5" hidden="1">
      <c r="C82" s="44"/>
      <c r="D82" s="44"/>
      <c r="E82" s="44"/>
    </row>
    <row r="83" spans="3:5" hidden="1">
      <c r="C83" s="44"/>
      <c r="D83" s="44"/>
      <c r="E83" s="44"/>
    </row>
    <row r="84" spans="3:5" hidden="1">
      <c r="C84" s="44"/>
      <c r="D84" s="44"/>
      <c r="E84" s="44"/>
    </row>
    <row r="85" spans="3:5" hidden="1">
      <c r="C85" s="44"/>
      <c r="D85" s="44"/>
      <c r="E85" s="44"/>
    </row>
    <row r="86" spans="3:5" hidden="1">
      <c r="C86" s="44"/>
      <c r="D86" s="44"/>
      <c r="E86" s="44"/>
    </row>
    <row r="87" spans="3:5" hidden="1">
      <c r="C87" s="44"/>
      <c r="D87" s="44"/>
      <c r="E87" s="44"/>
    </row>
    <row r="88" spans="3:5" hidden="1">
      <c r="C88" s="44"/>
      <c r="D88" s="44"/>
      <c r="E88" s="44"/>
    </row>
    <row r="89" spans="3:5" hidden="1">
      <c r="C89" s="44"/>
      <c r="D89" s="44"/>
      <c r="E89" s="44"/>
    </row>
    <row r="90" spans="3:5" hidden="1">
      <c r="C90" s="44"/>
      <c r="D90" s="44"/>
      <c r="E90" s="44"/>
    </row>
    <row r="91" spans="3:5" hidden="1">
      <c r="C91" s="44"/>
      <c r="D91" s="44"/>
      <c r="E91" s="44"/>
    </row>
    <row r="92" spans="3:5" hidden="1">
      <c r="C92" s="44"/>
      <c r="D92" s="44"/>
      <c r="E92" s="44"/>
    </row>
    <row r="93" spans="3:5" hidden="1">
      <c r="C93" s="44"/>
      <c r="D93" s="44"/>
      <c r="E93" s="44"/>
    </row>
    <row r="94" spans="3:5" hidden="1">
      <c r="C94" s="44"/>
      <c r="D94" s="44"/>
      <c r="E94" s="44"/>
    </row>
    <row r="95" spans="3:5" hidden="1">
      <c r="C95" s="44"/>
      <c r="D95" s="44"/>
      <c r="E95" s="44"/>
    </row>
    <row r="96" spans="3:5" hidden="1">
      <c r="C96" s="44"/>
      <c r="D96" s="44"/>
      <c r="E96" s="44"/>
    </row>
    <row r="97" spans="3:5" hidden="1">
      <c r="C97" s="44"/>
      <c r="D97" s="44"/>
      <c r="E97" s="44"/>
    </row>
    <row r="98" spans="3:5" hidden="1">
      <c r="C98" s="44"/>
      <c r="D98" s="44"/>
      <c r="E98" s="44"/>
    </row>
    <row r="99" spans="3:5" hidden="1">
      <c r="C99" s="44"/>
      <c r="D99" s="44"/>
      <c r="E99" s="44"/>
    </row>
    <row r="100" spans="3:5" hidden="1">
      <c r="C100" s="44"/>
      <c r="D100" s="44"/>
      <c r="E100" s="44"/>
    </row>
    <row r="101" spans="3:5" hidden="1">
      <c r="C101" s="44"/>
      <c r="D101" s="44"/>
      <c r="E101" s="44"/>
    </row>
    <row r="102" spans="3:5" hidden="1">
      <c r="C102" s="44"/>
      <c r="D102" s="44"/>
      <c r="E102" s="44"/>
    </row>
    <row r="103" spans="3:5" hidden="1">
      <c r="C103" s="44"/>
      <c r="D103" s="44"/>
      <c r="E103" s="44"/>
    </row>
  </sheetData>
  <sheetProtection sheet="1" objects="1" scenarios="1" selectLockedCells="1"/>
  <mergeCells count="3">
    <mergeCell ref="C5:E5"/>
    <mergeCell ref="C12:D12"/>
    <mergeCell ref="C35:D35"/>
  </mergeCells>
  <dataValidations count="5">
    <dataValidation type="list" allowBlank="1" showInputMessage="1" showErrorMessage="1" sqref="D15:D32" xr:uid="{A34DE1D6-90CB-48AF-AEAA-AE317B1A7831}">
      <formula1>"Holerite,CNPJ,Free lancer"</formula1>
    </dataValidation>
    <dataValidation type="list" allowBlank="1" showInputMessage="1" showErrorMessage="1" sqref="C6" xr:uid="{4D279870-0F6C-4BCD-AFA2-B12CBEFD551D}">
      <formula1>"Despesas Médicas e Odontológicas,Despesas com Ensino,Outras Despesas"</formula1>
    </dataValidation>
    <dataValidation type="list" allowBlank="1" showInputMessage="1" showErrorMessage="1" sqref="D38:D54" xr:uid="{571822D6-EBEC-4B39-8399-5EA4297B29CF}">
      <formula1>"Médicas e Odontológicas,Ensino,Outras "</formula1>
    </dataValidation>
    <dataValidation allowBlank="1" showInputMessage="1" showErrorMessage="1" promptTitle="ANEXAR COMPROANTES" prompt="ANEXAR TODOS OS DOCUMENTOS QUE COMPROVEM A RENDA" sqref="E12" xr:uid="{2AFFC102-58E6-47B4-B158-9298A28C9E9C}"/>
    <dataValidation allowBlank="1" showInputMessage="1" showErrorMessage="1" promptTitle="ANEXAR COMPROVANTES" prompt="ANEXAR TODOS OS COMPROVANTES DE GASTOS PASSÍVEIS DE DEDUÇÃO" sqref="E35" xr:uid="{CB2C90CF-74DF-47B5-9414-CFB405E092A9}"/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DBD-95CE-4428-8AC8-06F8079180EE}">
  <dimension ref="A1:E51"/>
  <sheetViews>
    <sheetView showGridLines="0" topLeftCell="A2" workbookViewId="0">
      <selection activeCell="A52" sqref="A52"/>
    </sheetView>
  </sheetViews>
  <sheetFormatPr defaultRowHeight="15"/>
  <sheetData>
    <row r="1" spans="1:5" ht="25.5" customHeight="1">
      <c r="A1" s="3" t="s">
        <v>76</v>
      </c>
      <c r="B1" s="3"/>
      <c r="C1" s="3"/>
      <c r="D1" s="3"/>
      <c r="E1" s="3"/>
    </row>
    <row r="2" spans="1:5">
      <c r="A2" t="s">
        <v>26</v>
      </c>
    </row>
    <row r="3" spans="1:5">
      <c r="A3" t="s">
        <v>27</v>
      </c>
    </row>
    <row r="4" spans="1:5">
      <c r="A4" t="s">
        <v>28</v>
      </c>
    </row>
    <row r="5" spans="1:5">
      <c r="A5" t="s">
        <v>29</v>
      </c>
    </row>
    <row r="6" spans="1:5">
      <c r="A6" t="s">
        <v>30</v>
      </c>
    </row>
    <row r="7" spans="1:5">
      <c r="A7" t="s">
        <v>31</v>
      </c>
    </row>
    <row r="8" spans="1:5">
      <c r="A8" t="s">
        <v>32</v>
      </c>
    </row>
    <row r="9" spans="1:5">
      <c r="A9" t="s">
        <v>33</v>
      </c>
    </row>
    <row r="10" spans="1:5">
      <c r="A10" t="s">
        <v>34</v>
      </c>
    </row>
    <row r="11" spans="1:5">
      <c r="A11" t="s">
        <v>35</v>
      </c>
    </row>
    <row r="12" spans="1:5">
      <c r="A12" t="s">
        <v>36</v>
      </c>
    </row>
    <row r="13" spans="1:5">
      <c r="A13" t="s">
        <v>37</v>
      </c>
    </row>
    <row r="14" spans="1:5">
      <c r="A14" t="s">
        <v>38</v>
      </c>
    </row>
    <row r="15" spans="1:5">
      <c r="A15" t="s">
        <v>39</v>
      </c>
    </row>
    <row r="16" spans="1:5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 de bancos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Duarte da Silva</dc:creator>
  <cp:lastModifiedBy>Andressa Duarte da Silva</cp:lastModifiedBy>
  <cp:lastPrinted>2026-10-09T20:32:01Z</cp:lastPrinted>
  <dcterms:created xsi:type="dcterms:W3CDTF">2026-10-07T21:01:33Z</dcterms:created>
  <dcterms:modified xsi:type="dcterms:W3CDTF">2026-10-10T03:38:29Z</dcterms:modified>
</cp:coreProperties>
</file>